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Proyecto\"/>
    </mc:Choice>
  </mc:AlternateContent>
  <bookViews>
    <workbookView xWindow="0" yWindow="0" windowWidth="24000" windowHeight="11610" activeTab="3"/>
  </bookViews>
  <sheets>
    <sheet name="Cerveceros" sheetId="5" r:id="rId1"/>
    <sheet name="BaseCerv" sheetId="6" r:id="rId2"/>
    <sheet name="CIERRE TECNICO" sheetId="4" r:id="rId3"/>
    <sheet name="Fechas" sheetId="7" r:id="rId4"/>
    <sheet name="Instrucciones de uso" sheetId="8" r:id="rId5"/>
  </sheets>
  <externalReferences>
    <externalReference r:id="rId6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D2" i="7"/>
  <c r="C2" i="7"/>
  <c r="D1" i="7"/>
  <c r="C1" i="7"/>
  <c r="B1" i="7"/>
  <c r="A1" i="7"/>
  <c r="A2" i="7"/>
  <c r="T12" i="4"/>
  <c r="T11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4" i="4"/>
  <c r="T7" i="4"/>
  <c r="T5" i="4"/>
  <c r="P9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" i="4"/>
  <c r="K4" i="4"/>
  <c r="T8" i="4"/>
  <c r="Q9" i="4"/>
</calcChain>
</file>

<file path=xl/sharedStrings.xml><?xml version="1.0" encoding="utf-8"?>
<sst xmlns="http://schemas.openxmlformats.org/spreadsheetml/2006/main" count="67" uniqueCount="52">
  <si>
    <t>TEXTO BREVE</t>
  </si>
  <si>
    <t># ORDEN</t>
  </si>
  <si>
    <t># MATERIAL</t>
  </si>
  <si>
    <t># LOTE</t>
  </si>
  <si>
    <t>CANTIDAD TEORICA</t>
  </si>
  <si>
    <t>CANTIDAD ENTREGADA</t>
  </si>
  <si>
    <t>CANTIDAD NOTIFICADA</t>
  </si>
  <si>
    <t>ERROR ENTREGA-NOTIFICADO</t>
  </si>
  <si>
    <t>REDONDEAR</t>
  </si>
  <si>
    <t>TIPO DE VAREACIÓN</t>
  </si>
  <si>
    <t>CIERRE TECNICO</t>
  </si>
  <si>
    <t>PP y PT</t>
  </si>
  <si>
    <t>¿VARIACIÓN?
¿LISTO PARA CERRAR?</t>
  </si>
  <si>
    <t>TD</t>
  </si>
  <si>
    <t xml:space="preserve">Automatización de Transacciones para la notificación </t>
  </si>
  <si>
    <t>Tandas</t>
  </si>
  <si>
    <t>Ordenes(TD)</t>
  </si>
  <si>
    <t>#ORDEN</t>
  </si>
  <si>
    <t>CANTIDAD</t>
  </si>
  <si>
    <t>Carnes</t>
  </si>
  <si>
    <t>Condimentos</t>
  </si>
  <si>
    <t>NV Chrz. CUNIT x 1000 g_Emp_30 (T4)</t>
  </si>
  <si>
    <t xml:space="preserve"> </t>
  </si>
  <si>
    <t>Chrz. RICA tripack x 495 g Tira x 3 (NT)</t>
  </si>
  <si>
    <t>Cerveceros</t>
  </si>
  <si>
    <t>NV Chrz. RICA x 400 g Em_37(NT)</t>
  </si>
  <si>
    <t>PP</t>
  </si>
  <si>
    <t>PT</t>
  </si>
  <si>
    <t>OK</t>
  </si>
  <si>
    <t>Schon. Ex. CUNIT x 850 g</t>
  </si>
  <si>
    <t>Schon. RICA x 850 g</t>
  </si>
  <si>
    <t>Cerveroni ZENU x 1000 g</t>
  </si>
  <si>
    <t>Schon. RICA x 250 g</t>
  </si>
  <si>
    <t>Schon. Ex. CUNIT x 480 g</t>
  </si>
  <si>
    <t>Schon. Cerveroni ZENU x 900 g</t>
  </si>
  <si>
    <t>Schon. Cerveroni ZENU x 1.2 kg</t>
  </si>
  <si>
    <t>Schon. Cervec. RICA x 950g</t>
  </si>
  <si>
    <t>Schon. ZENU pll. x 500 g</t>
  </si>
  <si>
    <t>Schon. Cervec.Premium.Ranchera x 480 g</t>
  </si>
  <si>
    <t>Schon. Cerveroni ZENU x 500 g</t>
  </si>
  <si>
    <t>Salchichón.CUNIT.Ahumado x 200 g</t>
  </si>
  <si>
    <t>6 Schon. Pll. ZENU collarin x 100 g</t>
  </si>
  <si>
    <t>Schon.cervecero snack ZENU x 100G</t>
  </si>
  <si>
    <t>Schon. Tradi. ZENU x 450 g</t>
  </si>
  <si>
    <t>Schon. ZENU pll. x 250 g</t>
  </si>
  <si>
    <t>Schon. ZENU pll. x 750 g</t>
  </si>
  <si>
    <t>Schon Cerv Cunit x 1 k - Ah CI TALSA</t>
  </si>
  <si>
    <t>Chrz. CUNIT x 400 g Em_37(NT)</t>
  </si>
  <si>
    <t>Schon.Cervec.Premium. Ed Esp.ZENU x500 g</t>
  </si>
  <si>
    <t>Schon. Tradi. ZENU x 225 g</t>
  </si>
  <si>
    <t>Schon. Cervec. RICA x 450g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</si>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</sst>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00000000"/>
    <numFmt numFmtId="165" formatCode="0.0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Times New Roman"/>
      <family val="1"/>
    </font>
    <font>
      <b/>
      <sz val="2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Franklin Gothic Demi"/>
      <family val="2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1" xfId="0" applyBorder="1"/>
    <xf numFmtId="3" fontId="0" fillId="0" borderId="0" xfId="0" applyNumberFormat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0" fillId="0" borderId="0" xfId="0" applyProtection="1"/>
    <xf numFmtId="3" fontId="0" fillId="0" borderId="0" xfId="0" applyNumberFormat="1" applyProtection="1"/>
    <xf numFmtId="0" fontId="6" fillId="0" borderId="0" xfId="0" applyFont="1"/>
    <xf numFmtId="0" fontId="10" fillId="4" borderId="6" xfId="0" applyFont="1" applyFill="1" applyBorder="1" applyAlignment="1">
      <alignment horizontal="center" vertical="center"/>
    </xf>
    <xf numFmtId="0" fontId="0" fillId="0" borderId="12" xfId="0" applyBorder="1"/>
    <xf numFmtId="0" fontId="0" fillId="0" borderId="3" xfId="0" applyBorder="1"/>
    <xf numFmtId="0" fontId="0" fillId="0" borderId="0" xfId="0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11" fillId="5" borderId="3" xfId="0" applyFont="1" applyFill="1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5" fontId="2" fillId="3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 2 2" xfId="1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4.png"/><Relationship Id="rId7" Type="http://schemas.openxmlformats.org/officeDocument/2006/relationships/image" Target="../media/image20.png"/><Relationship Id="rId2" Type="http://schemas.openxmlformats.org/officeDocument/2006/relationships/image" Target="../media/image16.png"/><Relationship Id="rId1" Type="http://schemas.openxmlformats.org/officeDocument/2006/relationships/image" Target="../media/image15.jpe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25.JPG"/><Relationship Id="rId1" Type="http://schemas.openxmlformats.org/officeDocument/2006/relationships/image" Target="../media/image24.jf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482237</xdr:colOff>
      <xdr:row>0</xdr:row>
      <xdr:rowOff>42454</xdr:rowOff>
    </xdr:from>
    <xdr:to>
      <xdr:col>14</xdr:col>
      <xdr:colOff>139337</xdr:colOff>
      <xdr:row>4</xdr:row>
      <xdr:rowOff>181790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8237" y="42454"/>
          <a:ext cx="8039100" cy="901336"/>
        </a:xfrm>
        <a:prstGeom prst="rect">
          <a:avLst/>
        </a:prstGeom>
      </xdr:spPr>
    </xdr:pic>
    <xdr:clientData/>
  </xdr:twoCellAnchor>
  <xdr:twoCellAnchor editAs="oneCell">
    <xdr:from>
      <xdr:col>3</xdr:col>
      <xdr:colOff>67913</xdr:colOff>
      <xdr:row>17</xdr:row>
      <xdr:rowOff>45720</xdr:rowOff>
    </xdr:from>
    <xdr:to>
      <xdr:col>3</xdr:col>
      <xdr:colOff>716499</xdr:colOff>
      <xdr:row>20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53913" y="3227070"/>
          <a:ext cx="648586" cy="626745"/>
        </a:xfrm>
        <a:prstGeom prst="rect">
          <a:avLst/>
        </a:prstGeom>
      </xdr:spPr>
    </xdr:pic>
    <xdr:clientData/>
  </xdr:twoCellAnchor>
  <xdr:twoCellAnchor editAs="oneCell">
    <xdr:from>
      <xdr:col>7</xdr:col>
      <xdr:colOff>71986</xdr:colOff>
      <xdr:row>25</xdr:row>
      <xdr:rowOff>31432</xdr:rowOff>
    </xdr:from>
    <xdr:to>
      <xdr:col>7</xdr:col>
      <xdr:colOff>711317</xdr:colOff>
      <xdr:row>28</xdr:row>
      <xdr:rowOff>142874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05986" y="4674870"/>
          <a:ext cx="639331" cy="682942"/>
        </a:xfrm>
        <a:prstGeom prst="rect">
          <a:avLst/>
        </a:prstGeom>
      </xdr:spPr>
    </xdr:pic>
    <xdr:clientData/>
  </xdr:twoCellAnchor>
  <xdr:twoCellAnchor editAs="oneCell">
    <xdr:from>
      <xdr:col>13</xdr:col>
      <xdr:colOff>486251</xdr:colOff>
      <xdr:row>26</xdr:row>
      <xdr:rowOff>30362</xdr:rowOff>
    </xdr:from>
    <xdr:to>
      <xdr:col>14</xdr:col>
      <xdr:colOff>417899</xdr:colOff>
      <xdr:row>29</xdr:row>
      <xdr:rowOff>187398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92251" y="4864300"/>
          <a:ext cx="693648" cy="728536"/>
        </a:xfrm>
        <a:prstGeom prst="rect">
          <a:avLst/>
        </a:prstGeom>
      </xdr:spPr>
    </xdr:pic>
    <xdr:clientData/>
  </xdr:twoCellAnchor>
  <xdr:twoCellAnchor editAs="oneCell">
    <xdr:from>
      <xdr:col>7</xdr:col>
      <xdr:colOff>67151</xdr:colOff>
      <xdr:row>17</xdr:row>
      <xdr:rowOff>45721</xdr:rowOff>
    </xdr:from>
    <xdr:to>
      <xdr:col>7</xdr:col>
      <xdr:colOff>702468</xdr:colOff>
      <xdr:row>20</xdr:row>
      <xdr:rowOff>115908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401151" y="3212784"/>
          <a:ext cx="635317" cy="605968"/>
        </a:xfrm>
        <a:prstGeom prst="rect">
          <a:avLst/>
        </a:prstGeom>
      </xdr:spPr>
    </xdr:pic>
    <xdr:clientData/>
  </xdr:twoCellAnchor>
  <xdr:twoCellAnchor editAs="oneCell">
    <xdr:from>
      <xdr:col>7</xdr:col>
      <xdr:colOff>240506</xdr:colOff>
      <xdr:row>21</xdr:row>
      <xdr:rowOff>90011</xdr:rowOff>
    </xdr:from>
    <xdr:to>
      <xdr:col>7</xdr:col>
      <xdr:colOff>529190</xdr:colOff>
      <xdr:row>24</xdr:row>
      <xdr:rowOff>142874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74506" y="3971449"/>
          <a:ext cx="288684" cy="624363"/>
        </a:xfrm>
        <a:prstGeom prst="rect">
          <a:avLst/>
        </a:prstGeom>
      </xdr:spPr>
    </xdr:pic>
    <xdr:clientData/>
  </xdr:twoCellAnchor>
  <xdr:twoCellAnchor editAs="oneCell">
    <xdr:from>
      <xdr:col>11</xdr:col>
      <xdr:colOff>399573</xdr:colOff>
      <xdr:row>12</xdr:row>
      <xdr:rowOff>67152</xdr:rowOff>
    </xdr:from>
    <xdr:to>
      <xdr:col>12</xdr:col>
      <xdr:colOff>346233</xdr:colOff>
      <xdr:row>16</xdr:row>
      <xdr:rowOff>36672</xdr:rowOff>
    </xdr:to>
    <xdr:pic macro="[1]!Imprimir_Cerv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1573" y="2317433"/>
          <a:ext cx="708660" cy="69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621506</xdr:colOff>
      <xdr:row>21</xdr:row>
      <xdr:rowOff>185261</xdr:rowOff>
    </xdr:from>
    <xdr:ext cx="327660" cy="685800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27506" y="4066699"/>
          <a:ext cx="327660" cy="685800"/>
        </a:xfrm>
        <a:prstGeom prst="rect">
          <a:avLst/>
        </a:prstGeom>
      </xdr:spPr>
    </xdr:pic>
    <xdr:clientData/>
  </xdr:oneCellAnchor>
  <xdr:oneCellAnchor>
    <xdr:from>
      <xdr:col>15</xdr:col>
      <xdr:colOff>7620</xdr:colOff>
      <xdr:row>17</xdr:row>
      <xdr:rowOff>45720</xdr:rowOff>
    </xdr:from>
    <xdr:ext cx="701040" cy="6858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7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15</xdr:col>
      <xdr:colOff>228600</xdr:colOff>
      <xdr:row>22</xdr:row>
      <xdr:rowOff>30480</xdr:rowOff>
    </xdr:from>
    <xdr:ext cx="327660" cy="685800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58600" y="4126230"/>
          <a:ext cx="327660" cy="685800"/>
        </a:xfrm>
        <a:prstGeom prst="rect">
          <a:avLst/>
        </a:prstGeom>
      </xdr:spPr>
    </xdr:pic>
    <xdr:clientData/>
  </xdr:oneCellAnchor>
  <xdr:twoCellAnchor editAs="oneCell">
    <xdr:from>
      <xdr:col>15</xdr:col>
      <xdr:colOff>80010</xdr:colOff>
      <xdr:row>26</xdr:row>
      <xdr:rowOff>117634</xdr:rowOff>
    </xdr:from>
    <xdr:to>
      <xdr:col>15</xdr:col>
      <xdr:colOff>552450</xdr:colOff>
      <xdr:row>29</xdr:row>
      <xdr:rowOff>29528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1510010" y="4951572"/>
          <a:ext cx="472440" cy="483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309563</xdr:colOff>
      <xdr:row>10</xdr:row>
      <xdr:rowOff>107156</xdr:rowOff>
    </xdr:from>
    <xdr:to>
      <xdr:col>7</xdr:col>
      <xdr:colOff>476250</xdr:colOff>
      <xdr:row>16</xdr:row>
      <xdr:rowOff>30663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19563" y="1976437"/>
          <a:ext cx="1690687" cy="103078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10</xdr:row>
      <xdr:rowOff>154782</xdr:rowOff>
    </xdr:from>
    <xdr:to>
      <xdr:col>3</xdr:col>
      <xdr:colOff>464344</xdr:colOff>
      <xdr:row>16</xdr:row>
      <xdr:rowOff>54952</xdr:rowOff>
    </xdr:to>
    <xdr:pic macro="[1]!Notif_Cerv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47750" y="2024063"/>
          <a:ext cx="1702594" cy="1007452"/>
        </a:xfrm>
        <a:prstGeom prst="rect">
          <a:avLst/>
        </a:prstGeom>
      </xdr:spPr>
    </xdr:pic>
    <xdr:clientData/>
  </xdr:twoCellAnchor>
  <xdr:twoCellAnchor editAs="oneCell">
    <xdr:from>
      <xdr:col>8</xdr:col>
      <xdr:colOff>726281</xdr:colOff>
      <xdr:row>10</xdr:row>
      <xdr:rowOff>166691</xdr:rowOff>
    </xdr:from>
    <xdr:to>
      <xdr:col>11</xdr:col>
      <xdr:colOff>321580</xdr:colOff>
      <xdr:row>16</xdr:row>
      <xdr:rowOff>166688</xdr:rowOff>
    </xdr:to>
    <xdr:pic macro="[1]!Imprimir_Cerv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22281" y="2035972"/>
          <a:ext cx="1881299" cy="1107279"/>
        </a:xfrm>
        <a:prstGeom prst="rect">
          <a:avLst/>
        </a:prstGeom>
      </xdr:spPr>
    </xdr:pic>
    <xdr:clientData/>
  </xdr:twoCellAnchor>
  <xdr:twoCellAnchor editAs="oneCell">
    <xdr:from>
      <xdr:col>18</xdr:col>
      <xdr:colOff>297656</xdr:colOff>
      <xdr:row>7</xdr:row>
      <xdr:rowOff>1</xdr:rowOff>
    </xdr:from>
    <xdr:to>
      <xdr:col>20</xdr:col>
      <xdr:colOff>309562</xdr:colOff>
      <xdr:row>13</xdr:row>
      <xdr:rowOff>79934</xdr:rowOff>
    </xdr:to>
    <xdr:pic macro="[1]!Abrir_Cooispi_Pedido_Cerv"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13656" y="1321595"/>
          <a:ext cx="1535906" cy="1187214"/>
        </a:xfrm>
        <a:prstGeom prst="rect">
          <a:avLst/>
        </a:prstGeom>
      </xdr:spPr>
    </xdr:pic>
    <xdr:clientData/>
  </xdr:twoCellAnchor>
  <xdr:twoCellAnchor editAs="oneCell">
    <xdr:from>
      <xdr:col>17</xdr:col>
      <xdr:colOff>678655</xdr:colOff>
      <xdr:row>0</xdr:row>
      <xdr:rowOff>130970</xdr:rowOff>
    </xdr:from>
    <xdr:to>
      <xdr:col>20</xdr:col>
      <xdr:colOff>678655</xdr:colOff>
      <xdr:row>6</xdr:row>
      <xdr:rowOff>25867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32655" y="130970"/>
          <a:ext cx="2286000" cy="1037897"/>
        </a:xfrm>
        <a:prstGeom prst="rect">
          <a:avLst/>
        </a:prstGeom>
      </xdr:spPr>
    </xdr:pic>
    <xdr:clientData/>
  </xdr:twoCellAnchor>
  <xdr:twoCellAnchor editAs="oneCell">
    <xdr:from>
      <xdr:col>11</xdr:col>
      <xdr:colOff>57699</xdr:colOff>
      <xdr:row>17</xdr:row>
      <xdr:rowOff>29051</xdr:rowOff>
    </xdr:from>
    <xdr:to>
      <xdr:col>11</xdr:col>
      <xdr:colOff>697030</xdr:colOff>
      <xdr:row>20</xdr:row>
      <xdr:rowOff>176212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9699" y="3196114"/>
          <a:ext cx="639331" cy="682942"/>
        </a:xfrm>
        <a:prstGeom prst="rect">
          <a:avLst/>
        </a:prstGeom>
      </xdr:spPr>
    </xdr:pic>
    <xdr:clientData/>
  </xdr:twoCellAnchor>
  <xdr:twoCellAnchor editAs="oneCell">
    <xdr:from>
      <xdr:col>18</xdr:col>
      <xdr:colOff>261936</xdr:colOff>
      <xdr:row>13</xdr:row>
      <xdr:rowOff>95251</xdr:rowOff>
    </xdr:from>
    <xdr:to>
      <xdr:col>20</xdr:col>
      <xdr:colOff>321468</xdr:colOff>
      <xdr:row>20</xdr:row>
      <xdr:rowOff>39384</xdr:rowOff>
    </xdr:to>
    <xdr:pic macro="[1]!Abrir_Cooispi_CN_Sticker_Cerv"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977936" y="2524126"/>
          <a:ext cx="1583532" cy="1218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66676</xdr:rowOff>
    </xdr:from>
    <xdr:to>
      <xdr:col>1</xdr:col>
      <xdr:colOff>247495</xdr:colOff>
      <xdr:row>2</xdr:row>
      <xdr:rowOff>28575</xdr:rowOff>
    </xdr:to>
    <xdr:pic macro="[1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6676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95251</xdr:colOff>
      <xdr:row>0</xdr:row>
      <xdr:rowOff>180975</xdr:rowOff>
    </xdr:from>
    <xdr:to>
      <xdr:col>8</xdr:col>
      <xdr:colOff>419101</xdr:colOff>
      <xdr:row>3</xdr:row>
      <xdr:rowOff>57710</xdr:rowOff>
    </xdr:to>
    <xdr:pic macro="[1]!Inicio_Cerv"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6051" y="180975"/>
          <a:ext cx="1085850" cy="638735"/>
        </a:xfrm>
        <a:prstGeom prst="rect">
          <a:avLst/>
        </a:prstGeom>
      </xdr:spPr>
    </xdr:pic>
    <xdr:clientData/>
  </xdr:twoCellAnchor>
  <xdr:twoCellAnchor editAs="oneCell">
    <xdr:from>
      <xdr:col>19</xdr:col>
      <xdr:colOff>104774</xdr:colOff>
      <xdr:row>0</xdr:row>
      <xdr:rowOff>142875</xdr:rowOff>
    </xdr:from>
    <xdr:to>
      <xdr:col>20</xdr:col>
      <xdr:colOff>589597</xdr:colOff>
      <xdr:row>3</xdr:row>
      <xdr:rowOff>114300</xdr:rowOff>
    </xdr:to>
    <xdr:pic macro="[1]!Inicio_Cerv"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44824" y="142875"/>
          <a:ext cx="1246823" cy="733425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123825</xdr:colOff>
      <xdr:row>1</xdr:row>
      <xdr:rowOff>66676</xdr:rowOff>
    </xdr:from>
    <xdr:to>
      <xdr:col>22</xdr:col>
      <xdr:colOff>649605</xdr:colOff>
      <xdr:row>6</xdr:row>
      <xdr:rowOff>104776</xdr:rowOff>
    </xdr:to>
    <xdr:pic macro="[1]!Abrir_Cooispi_CN_Sticker_Cerv"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287875" y="447676"/>
          <a:ext cx="1287780" cy="990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123826</xdr:colOff>
      <xdr:row>7</xdr:row>
      <xdr:rowOff>9525</xdr:rowOff>
    </xdr:from>
    <xdr:to>
      <xdr:col>22</xdr:col>
      <xdr:colOff>695326</xdr:colOff>
      <xdr:row>12</xdr:row>
      <xdr:rowOff>95377</xdr:rowOff>
    </xdr:to>
    <xdr:pic macro="[1]!Impresion_En_Masa_Cerv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87876" y="1533525"/>
          <a:ext cx="1333500" cy="1038352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0</xdr:row>
      <xdr:rowOff>76201</xdr:rowOff>
    </xdr:from>
    <xdr:to>
      <xdr:col>2</xdr:col>
      <xdr:colOff>552450</xdr:colOff>
      <xdr:row>2</xdr:row>
      <xdr:rowOff>147843</xdr:rowOff>
    </xdr:to>
    <xdr:pic macro="[1]!Iniciar_Sap"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2050" y="76201"/>
          <a:ext cx="914400" cy="6431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152400</xdr:rowOff>
    </xdr:from>
    <xdr:to>
      <xdr:col>1</xdr:col>
      <xdr:colOff>518184</xdr:colOff>
      <xdr:row>12</xdr:row>
      <xdr:rowOff>142875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866900"/>
          <a:ext cx="1280184" cy="7524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76200</xdr:rowOff>
    </xdr:from>
    <xdr:to>
      <xdr:col>1</xdr:col>
      <xdr:colOff>518184</xdr:colOff>
      <xdr:row>18</xdr:row>
      <xdr:rowOff>66675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933700"/>
          <a:ext cx="1280184" cy="7524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9525</xdr:rowOff>
    </xdr:from>
    <xdr:to>
      <xdr:col>1</xdr:col>
      <xdr:colOff>518184</xdr:colOff>
      <xdr:row>24</xdr:row>
      <xdr:rowOff>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010025"/>
          <a:ext cx="1280184" cy="752475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714375</xdr:colOff>
      <xdr:row>2</xdr:row>
      <xdr:rowOff>180976</xdr:rowOff>
    </xdr:from>
    <xdr:to>
      <xdr:col>3</xdr:col>
      <xdr:colOff>521706</xdr:colOff>
      <xdr:row>8</xdr:row>
      <xdr:rowOff>66675</xdr:rowOff>
    </xdr:to>
    <xdr:pic macro="[1]!Notificacion_TD_11_Cerv"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76375" y="752476"/>
          <a:ext cx="1340856" cy="1028699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714375</xdr:colOff>
      <xdr:row>8</xdr:row>
      <xdr:rowOff>57151</xdr:rowOff>
    </xdr:from>
    <xdr:to>
      <xdr:col>3</xdr:col>
      <xdr:colOff>514613</xdr:colOff>
      <xdr:row>13</xdr:row>
      <xdr:rowOff>133351</xdr:rowOff>
    </xdr:to>
    <xdr:pic macro="[1]!Notificacion_TD_21"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76375" y="1771651"/>
          <a:ext cx="1333763" cy="1028700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704850</xdr:colOff>
      <xdr:row>13</xdr:row>
      <xdr:rowOff>123825</xdr:rowOff>
    </xdr:from>
    <xdr:to>
      <xdr:col>3</xdr:col>
      <xdr:colOff>533400</xdr:colOff>
      <xdr:row>19</xdr:row>
      <xdr:rowOff>45059</xdr:rowOff>
    </xdr:to>
    <xdr:pic macro="[1]!Abrir_Revision_TD"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6850" y="2790825"/>
          <a:ext cx="1362075" cy="1064234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714376</xdr:colOff>
      <xdr:row>19</xdr:row>
      <xdr:rowOff>28575</xdr:rowOff>
    </xdr:from>
    <xdr:to>
      <xdr:col>3</xdr:col>
      <xdr:colOff>517251</xdr:colOff>
      <xdr:row>24</xdr:row>
      <xdr:rowOff>114300</xdr:rowOff>
    </xdr:to>
    <xdr:pic macro="[1]!Cierre_Tecnico_TD"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6376" y="3838575"/>
          <a:ext cx="1336400" cy="1038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1</xdr:row>
      <xdr:rowOff>11906</xdr:rowOff>
    </xdr:from>
    <xdr:to>
      <xdr:col>14</xdr:col>
      <xdr:colOff>714374</xdr:colOff>
      <xdr:row>5</xdr:row>
      <xdr:rowOff>11906</xdr:rowOff>
    </xdr:to>
    <xdr:pic macro="[0]!PP_PT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68" t="11496" r="12844" b="17241"/>
        <a:stretch/>
      </xdr:blipFill>
      <xdr:spPr>
        <a:xfrm>
          <a:off x="16978313" y="202406"/>
          <a:ext cx="1512093" cy="13335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71437</xdr:colOff>
      <xdr:row>11</xdr:row>
      <xdr:rowOff>35720</xdr:rowOff>
    </xdr:from>
    <xdr:to>
      <xdr:col>15</xdr:col>
      <xdr:colOff>166686</xdr:colOff>
      <xdr:row>16</xdr:row>
      <xdr:rowOff>202632</xdr:rowOff>
    </xdr:to>
    <xdr:pic macro="[0]!TD"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1" b="8725"/>
        <a:stretch/>
      </xdr:blipFill>
      <xdr:spPr>
        <a:xfrm>
          <a:off x="17002125" y="2774158"/>
          <a:ext cx="1702593" cy="153613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130969</xdr:colOff>
      <xdr:row>21</xdr:row>
      <xdr:rowOff>178595</xdr:rowOff>
    </xdr:from>
    <xdr:to>
      <xdr:col>15</xdr:col>
      <xdr:colOff>527447</xdr:colOff>
      <xdr:row>25</xdr:row>
      <xdr:rowOff>261938</xdr:rowOff>
    </xdr:to>
    <xdr:pic macro="[1]!Inicio_Cerv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192250" y="6084095"/>
          <a:ext cx="2003822" cy="11787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176718</xdr:colOff>
      <xdr:row>0</xdr:row>
      <xdr:rowOff>0</xdr:rowOff>
    </xdr:from>
    <xdr:to>
      <xdr:col>16</xdr:col>
      <xdr:colOff>541890</xdr:colOff>
      <xdr:row>169</xdr:row>
      <xdr:rowOff>127496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718" y="0"/>
          <a:ext cx="11795172" cy="321981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ncacusuge02\D\sip\Archivos%20Notificadores\Archivos%20Notificadores\Proyecto\Tablero%20de%20Control%20Notificad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Instrucciones de uso"/>
      <sheetName val="BaseCerv"/>
      <sheetName val="Salchichas"/>
      <sheetName val="BaseSalc"/>
      <sheetName val="Hamburguesas"/>
      <sheetName val="BaseHambu"/>
      <sheetName val="Fechas"/>
      <sheetName val="Just"/>
    </sheetNames>
    <definedNames>
      <definedName name="Abrir_Cooispi_CN_Sticker_Cerv"/>
      <definedName name="Abrir_Cooispi_Pedido_Cerv"/>
      <definedName name="Abrir_Revision_TD"/>
      <definedName name="Cierre_Tecnico_TD"/>
      <definedName name="Impresion_En_Masa_Cerv"/>
      <definedName name="Imprimir_Cerv"/>
      <definedName name="Iniciar_Sap"/>
      <definedName name="Inicio_Cerv"/>
      <definedName name="Notif_Cerv"/>
      <definedName name="Notificacion_TD_11_Cerv"/>
      <definedName name="Notificacion_TD_21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7:P38"/>
  <sheetViews>
    <sheetView showGridLines="0" zoomScale="80" zoomScaleNormal="80" workbookViewId="0">
      <selection activeCell="T31" sqref="T31"/>
    </sheetView>
  </sheetViews>
  <sheetFormatPr baseColWidth="10" defaultRowHeight="15" x14ac:dyDescent="0.25"/>
  <sheetData>
    <row r="7" spans="5:13" ht="14.45" customHeight="1" x14ac:dyDescent="0.25">
      <c r="E7" s="27" t="s">
        <v>14</v>
      </c>
      <c r="F7" s="27"/>
      <c r="G7" s="27"/>
      <c r="H7" s="27"/>
      <c r="I7" s="27"/>
      <c r="J7" s="27"/>
      <c r="K7" s="27"/>
      <c r="L7" s="27"/>
      <c r="M7" s="27"/>
    </row>
    <row r="8" spans="5:13" ht="14.45" customHeight="1" x14ac:dyDescent="0.25">
      <c r="E8" s="27"/>
      <c r="F8" s="27"/>
      <c r="G8" s="27"/>
      <c r="H8" s="27"/>
      <c r="I8" s="27"/>
      <c r="J8" s="27"/>
      <c r="K8" s="27"/>
      <c r="L8" s="27"/>
      <c r="M8" s="27"/>
    </row>
    <row r="9" spans="5:13" ht="14.45" customHeight="1" x14ac:dyDescent="0.25">
      <c r="E9" s="27"/>
      <c r="F9" s="27"/>
      <c r="G9" s="27"/>
      <c r="H9" s="27"/>
      <c r="I9" s="27"/>
      <c r="J9" s="27"/>
      <c r="K9" s="27"/>
      <c r="L9" s="27"/>
      <c r="M9" s="27"/>
    </row>
    <row r="10" spans="5:13" ht="15" customHeight="1" x14ac:dyDescent="0.25"/>
    <row r="11" spans="5:13" ht="15" customHeight="1" x14ac:dyDescent="0.25"/>
    <row r="13" spans="5:13" ht="14.45" customHeight="1" x14ac:dyDescent="0.25"/>
    <row r="14" spans="5:13" ht="14.45" customHeight="1" x14ac:dyDescent="0.25"/>
    <row r="15" spans="5:13" ht="14.45" customHeight="1" x14ac:dyDescent="0.25"/>
    <row r="18" spans="2:16" ht="14.45" customHeight="1" x14ac:dyDescent="0.25">
      <c r="B18" s="28" t="s">
        <v>15</v>
      </c>
      <c r="C18" s="29"/>
      <c r="D18" s="24"/>
      <c r="F18" s="28" t="s">
        <v>15</v>
      </c>
      <c r="G18" s="29"/>
      <c r="H18" s="24"/>
      <c r="J18" s="28" t="s">
        <v>24</v>
      </c>
      <c r="K18" s="29"/>
      <c r="L18" s="24"/>
      <c r="N18" s="28" t="s">
        <v>24</v>
      </c>
      <c r="O18" s="29"/>
      <c r="P18" s="24"/>
    </row>
    <row r="19" spans="2:16" ht="14.45" customHeight="1" x14ac:dyDescent="0.25">
      <c r="B19" s="30"/>
      <c r="C19" s="31"/>
      <c r="D19" s="25"/>
      <c r="F19" s="30"/>
      <c r="G19" s="31"/>
      <c r="H19" s="25"/>
      <c r="J19" s="30"/>
      <c r="K19" s="31"/>
      <c r="L19" s="25"/>
      <c r="N19" s="30"/>
      <c r="O19" s="31"/>
      <c r="P19" s="25"/>
    </row>
    <row r="20" spans="2:16" ht="14.45" customHeight="1" x14ac:dyDescent="0.25">
      <c r="B20" s="30"/>
      <c r="C20" s="31"/>
      <c r="D20" s="25"/>
      <c r="F20" s="30"/>
      <c r="G20" s="31"/>
      <c r="H20" s="25"/>
      <c r="J20" s="30"/>
      <c r="K20" s="31"/>
      <c r="L20" s="25"/>
      <c r="N20" s="30"/>
      <c r="O20" s="31"/>
      <c r="P20" s="25"/>
    </row>
    <row r="21" spans="2:16" ht="14.45" customHeight="1" x14ac:dyDescent="0.25">
      <c r="B21" s="32"/>
      <c r="C21" s="33"/>
      <c r="D21" s="26"/>
      <c r="F21" s="32"/>
      <c r="G21" s="33"/>
      <c r="H21" s="26"/>
      <c r="J21" s="32"/>
      <c r="K21" s="33"/>
      <c r="L21" s="26"/>
      <c r="N21" s="32"/>
      <c r="O21" s="33"/>
      <c r="P21" s="26"/>
    </row>
    <row r="22" spans="2:16" x14ac:dyDescent="0.25">
      <c r="F22" s="28" t="s">
        <v>26</v>
      </c>
      <c r="G22" s="29"/>
      <c r="H22" s="24"/>
    </row>
    <row r="23" spans="2:16" ht="15" customHeight="1" x14ac:dyDescent="0.25">
      <c r="F23" s="30"/>
      <c r="G23" s="31"/>
      <c r="H23" s="25"/>
    </row>
    <row r="24" spans="2:16" ht="15" customHeight="1" x14ac:dyDescent="0.25">
      <c r="F24" s="30"/>
      <c r="G24" s="31"/>
      <c r="H24" s="25"/>
    </row>
    <row r="25" spans="2:16" ht="15" customHeight="1" x14ac:dyDescent="0.25">
      <c r="F25" s="32"/>
      <c r="G25" s="33"/>
      <c r="H25" s="26"/>
    </row>
    <row r="26" spans="2:16" ht="15" customHeight="1" x14ac:dyDescent="0.25">
      <c r="F26" s="28" t="s">
        <v>27</v>
      </c>
      <c r="G26" s="29"/>
      <c r="H26" s="24"/>
    </row>
    <row r="27" spans="2:16" x14ac:dyDescent="0.25">
      <c r="F27" s="30"/>
      <c r="G27" s="31"/>
      <c r="H27" s="25"/>
    </row>
    <row r="28" spans="2:16" ht="15" customHeight="1" x14ac:dyDescent="0.25">
      <c r="F28" s="30"/>
      <c r="G28" s="31"/>
      <c r="H28" s="25"/>
    </row>
    <row r="29" spans="2:16" ht="15" customHeight="1" x14ac:dyDescent="0.25">
      <c r="F29" s="32"/>
      <c r="G29" s="33"/>
      <c r="H29" s="26"/>
    </row>
    <row r="30" spans="2:16" ht="15" customHeight="1" x14ac:dyDescent="0.25"/>
    <row r="31" spans="2:16" ht="15" customHeight="1" x14ac:dyDescent="0.25"/>
    <row r="33" ht="15" customHeight="1" x14ac:dyDescent="0.25"/>
    <row r="34" ht="15" customHeight="1" x14ac:dyDescent="0.25"/>
    <row r="35" ht="14.45" customHeight="1" x14ac:dyDescent="0.25"/>
    <row r="36" ht="14.45" customHeight="1" x14ac:dyDescent="0.25"/>
    <row r="37" ht="14.45" customHeight="1" x14ac:dyDescent="0.25"/>
    <row r="38" ht="15" customHeight="1" x14ac:dyDescent="0.25"/>
  </sheetData>
  <mergeCells count="13">
    <mergeCell ref="F22:G25"/>
    <mergeCell ref="F26:G29"/>
    <mergeCell ref="H22:H25"/>
    <mergeCell ref="H26:H29"/>
    <mergeCell ref="N18:O21"/>
    <mergeCell ref="P18:P21"/>
    <mergeCell ref="E7:M9"/>
    <mergeCell ref="L18:L21"/>
    <mergeCell ref="B18:C21"/>
    <mergeCell ref="D18:D21"/>
    <mergeCell ref="F18:G21"/>
    <mergeCell ref="H18:H21"/>
    <mergeCell ref="J18:K21"/>
  </mergeCells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E1:AF54"/>
  <sheetViews>
    <sheetView showGridLines="0" workbookViewId="0">
      <selection activeCell="J30" sqref="J30"/>
    </sheetView>
  </sheetViews>
  <sheetFormatPr baseColWidth="10" defaultRowHeight="15" x14ac:dyDescent="0.25"/>
  <cols>
    <col min="3" max="4" width="11.5703125" customWidth="1"/>
    <col min="5" max="5" width="27.140625" customWidth="1"/>
    <col min="10" max="10" width="12.85546875" bestFit="1" customWidth="1"/>
    <col min="25" max="25" width="13" customWidth="1"/>
    <col min="26" max="26" width="40.5703125" customWidth="1"/>
    <col min="29" max="29" width="14.28515625" customWidth="1"/>
    <col min="30" max="30" width="16.85546875" customWidth="1"/>
    <col min="31" max="31" width="47" customWidth="1"/>
  </cols>
  <sheetData>
    <row r="1" spans="5:32" ht="30" customHeight="1" x14ac:dyDescent="0.25">
      <c r="E1" s="22" t="s">
        <v>16</v>
      </c>
      <c r="X1" s="21" t="s">
        <v>17</v>
      </c>
      <c r="Y1" s="21" t="s">
        <v>18</v>
      </c>
      <c r="Z1" s="21" t="s">
        <v>0</v>
      </c>
      <c r="AE1" s="14"/>
    </row>
    <row r="2" spans="5:32" ht="15" customHeight="1" x14ac:dyDescent="0.25">
      <c r="E2" s="15">
        <v>14186730</v>
      </c>
      <c r="X2">
        <v>14191699</v>
      </c>
      <c r="Y2">
        <v>242</v>
      </c>
      <c r="Z2" t="s">
        <v>29</v>
      </c>
      <c r="AA2" s="7"/>
      <c r="AB2" s="7"/>
      <c r="AC2">
        <v>14191652</v>
      </c>
      <c r="AD2" s="7">
        <v>1327</v>
      </c>
      <c r="AE2" t="s">
        <v>34</v>
      </c>
    </row>
    <row r="3" spans="5:32" ht="15" customHeight="1" x14ac:dyDescent="0.25">
      <c r="E3" s="16">
        <v>14188633</v>
      </c>
      <c r="X3" s="16"/>
      <c r="Y3" s="16"/>
      <c r="Z3" s="16"/>
      <c r="AA3" s="7"/>
      <c r="AB3" s="7"/>
      <c r="AC3">
        <v>14191662</v>
      </c>
      <c r="AD3" s="7">
        <v>1161</v>
      </c>
      <c r="AE3" t="s">
        <v>35</v>
      </c>
    </row>
    <row r="4" spans="5:32" x14ac:dyDescent="0.25">
      <c r="E4" s="15">
        <v>14188640</v>
      </c>
      <c r="X4" s="16"/>
      <c r="Y4" s="16"/>
      <c r="Z4" s="16"/>
      <c r="AA4" s="7"/>
      <c r="AB4" s="7"/>
      <c r="AC4">
        <v>14191628</v>
      </c>
      <c r="AD4">
        <v>359</v>
      </c>
      <c r="AE4" t="s">
        <v>36</v>
      </c>
    </row>
    <row r="5" spans="5:32" x14ac:dyDescent="0.25">
      <c r="E5" s="16"/>
      <c r="X5" s="16"/>
      <c r="Y5" s="16"/>
      <c r="Z5" s="16"/>
      <c r="AA5" s="7"/>
      <c r="AB5" s="7"/>
    </row>
    <row r="6" spans="5:32" x14ac:dyDescent="0.25">
      <c r="E6" s="15">
        <v>14188650</v>
      </c>
      <c r="I6" s="23" t="s">
        <v>19</v>
      </c>
      <c r="J6" s="23" t="s">
        <v>20</v>
      </c>
      <c r="X6" s="16"/>
      <c r="Y6" s="16"/>
      <c r="Z6" s="16"/>
      <c r="AA6" s="7"/>
      <c r="AB6" s="7"/>
    </row>
    <row r="7" spans="5:32" x14ac:dyDescent="0.25">
      <c r="E7" s="16"/>
      <c r="I7" s="15">
        <v>14187473</v>
      </c>
      <c r="J7" s="16"/>
      <c r="X7" s="16"/>
      <c r="Y7" s="16"/>
      <c r="Z7" s="16"/>
      <c r="AA7" s="7"/>
      <c r="AB7" s="7"/>
      <c r="AC7">
        <v>14191637</v>
      </c>
      <c r="AD7">
        <v>246</v>
      </c>
      <c r="AE7" t="s">
        <v>21</v>
      </c>
    </row>
    <row r="8" spans="5:32" x14ac:dyDescent="0.25">
      <c r="E8" s="15">
        <v>14188660</v>
      </c>
      <c r="I8" s="16">
        <v>14187476</v>
      </c>
      <c r="J8" s="16"/>
      <c r="X8" s="16"/>
      <c r="Y8" s="16"/>
      <c r="Z8" s="16"/>
      <c r="AA8" s="7"/>
      <c r="AB8" s="7"/>
      <c r="AC8">
        <v>14191687</v>
      </c>
      <c r="AD8">
        <v>243</v>
      </c>
      <c r="AE8" t="s">
        <v>37</v>
      </c>
    </row>
    <row r="9" spans="5:32" x14ac:dyDescent="0.25">
      <c r="E9" s="16"/>
      <c r="I9" s="16">
        <v>14187467</v>
      </c>
      <c r="J9" s="16"/>
      <c r="X9" s="16"/>
      <c r="Y9" s="16"/>
      <c r="Z9" s="16"/>
      <c r="AA9" s="7"/>
      <c r="AB9" s="7"/>
    </row>
    <row r="10" spans="5:32" x14ac:dyDescent="0.25">
      <c r="E10" s="16">
        <v>14188569</v>
      </c>
      <c r="I10" s="16">
        <v>14187486</v>
      </c>
      <c r="J10" s="16"/>
      <c r="X10" s="16"/>
      <c r="Y10" s="16"/>
      <c r="Z10" s="16"/>
      <c r="AA10" s="7"/>
      <c r="AB10" s="7"/>
      <c r="AC10">
        <v>14191667</v>
      </c>
      <c r="AD10">
        <v>199</v>
      </c>
      <c r="AE10" t="s">
        <v>31</v>
      </c>
    </row>
    <row r="11" spans="5:32" x14ac:dyDescent="0.25">
      <c r="E11" s="15"/>
      <c r="I11" s="16">
        <v>14187487</v>
      </c>
      <c r="J11" s="16"/>
      <c r="X11" s="16"/>
      <c r="Y11" s="16"/>
      <c r="Z11" s="16"/>
      <c r="AA11" s="7"/>
      <c r="AB11" s="7"/>
      <c r="AC11">
        <v>14191695</v>
      </c>
      <c r="AD11">
        <v>181</v>
      </c>
      <c r="AE11" t="s">
        <v>30</v>
      </c>
    </row>
    <row r="12" spans="5:32" x14ac:dyDescent="0.25">
      <c r="E12" s="16">
        <v>14188586</v>
      </c>
      <c r="I12" s="16">
        <v>14187480</v>
      </c>
      <c r="J12" s="16"/>
      <c r="X12" s="16"/>
      <c r="Y12" s="16"/>
      <c r="Z12" s="16"/>
      <c r="AA12" s="7"/>
      <c r="AB12" s="7"/>
      <c r="AC12">
        <v>14191614</v>
      </c>
      <c r="AD12">
        <v>173</v>
      </c>
      <c r="AE12" t="s">
        <v>38</v>
      </c>
      <c r="AF12" s="7"/>
    </row>
    <row r="13" spans="5:32" x14ac:dyDescent="0.25">
      <c r="E13" s="16">
        <v>14188595</v>
      </c>
      <c r="I13" s="16">
        <v>14187422</v>
      </c>
      <c r="J13" s="16"/>
      <c r="X13" s="16"/>
      <c r="Y13" s="16"/>
      <c r="Z13" s="16"/>
      <c r="AA13" s="7"/>
      <c r="AB13" s="7"/>
      <c r="AC13">
        <v>14191657</v>
      </c>
      <c r="AD13">
        <v>170</v>
      </c>
      <c r="AE13" t="s">
        <v>39</v>
      </c>
      <c r="AF13" s="7"/>
    </row>
    <row r="14" spans="5:32" x14ac:dyDescent="0.25">
      <c r="E14" s="16">
        <v>14188605</v>
      </c>
      <c r="I14" s="16">
        <v>14187478</v>
      </c>
      <c r="J14" s="16"/>
      <c r="X14" s="16"/>
      <c r="Y14" s="16"/>
      <c r="Z14" s="16"/>
      <c r="AA14" s="7"/>
      <c r="AB14" s="7" t="s">
        <v>51</v>
      </c>
      <c r="AC14">
        <v>14191708</v>
      </c>
      <c r="AD14">
        <v>157</v>
      </c>
      <c r="AE14" t="s">
        <v>40</v>
      </c>
    </row>
    <row r="15" spans="5:32" x14ac:dyDescent="0.25">
      <c r="E15" s="16"/>
      <c r="I15" s="16">
        <v>14187419</v>
      </c>
      <c r="J15" s="16"/>
      <c r="X15" s="16"/>
      <c r="Y15" s="16"/>
      <c r="Z15" s="16"/>
      <c r="AA15" s="7"/>
      <c r="AB15" s="7"/>
      <c r="AC15">
        <v>14191691</v>
      </c>
      <c r="AD15">
        <v>151</v>
      </c>
      <c r="AE15" t="s">
        <v>41</v>
      </c>
    </row>
    <row r="16" spans="5:32" x14ac:dyDescent="0.25">
      <c r="E16" s="16">
        <v>14188624</v>
      </c>
      <c r="I16" s="16">
        <v>14187431</v>
      </c>
      <c r="J16" s="16"/>
      <c r="X16" s="16"/>
      <c r="Y16" s="16"/>
      <c r="Z16" s="16"/>
      <c r="AA16" s="7"/>
      <c r="AB16" s="7"/>
      <c r="AC16">
        <v>14190213</v>
      </c>
      <c r="AD16">
        <v>141</v>
      </c>
      <c r="AE16" t="s">
        <v>42</v>
      </c>
    </row>
    <row r="17" spans="5:31" x14ac:dyDescent="0.25">
      <c r="E17" s="16">
        <v>14188548</v>
      </c>
      <c r="X17" s="16"/>
      <c r="Y17" s="16"/>
      <c r="Z17" s="16"/>
      <c r="AA17" s="7"/>
      <c r="AB17" s="7" t="s">
        <v>51</v>
      </c>
      <c r="AC17">
        <v>14191717</v>
      </c>
      <c r="AD17">
        <v>139</v>
      </c>
      <c r="AE17" t="s">
        <v>43</v>
      </c>
    </row>
    <row r="18" spans="5:31" x14ac:dyDescent="0.25">
      <c r="E18" s="16">
        <v>14188560</v>
      </c>
      <c r="X18" s="16"/>
      <c r="Y18" s="16"/>
      <c r="Z18" s="16"/>
      <c r="AA18" s="7"/>
      <c r="AB18" s="7"/>
      <c r="AC18">
        <v>14191577</v>
      </c>
      <c r="AD18">
        <v>138</v>
      </c>
      <c r="AE18" t="s">
        <v>23</v>
      </c>
    </row>
    <row r="19" spans="5:31" x14ac:dyDescent="0.25">
      <c r="E19" s="16">
        <v>14188684</v>
      </c>
      <c r="X19" s="16"/>
      <c r="Y19" s="16"/>
      <c r="Z19" s="16"/>
      <c r="AA19" s="7"/>
      <c r="AB19" s="7"/>
      <c r="AC19">
        <v>14191677</v>
      </c>
      <c r="AD19">
        <v>122</v>
      </c>
      <c r="AE19" t="s">
        <v>44</v>
      </c>
    </row>
    <row r="20" spans="5:31" x14ac:dyDescent="0.25">
      <c r="E20" s="16">
        <v>14188690</v>
      </c>
      <c r="X20" s="16"/>
      <c r="Y20" s="16"/>
      <c r="Z20" s="16"/>
      <c r="AA20" s="7"/>
      <c r="AB20" s="7"/>
      <c r="AC20">
        <v>14191682</v>
      </c>
      <c r="AD20">
        <v>122</v>
      </c>
      <c r="AE20" t="s">
        <v>45</v>
      </c>
    </row>
    <row r="21" spans="5:31" x14ac:dyDescent="0.25">
      <c r="E21" s="16">
        <v>14188692</v>
      </c>
      <c r="X21" s="16"/>
      <c r="Y21" s="16" t="s">
        <v>22</v>
      </c>
      <c r="Z21" s="16"/>
      <c r="AA21" s="7"/>
      <c r="AB21" s="7"/>
      <c r="AC21">
        <v>14191646</v>
      </c>
      <c r="AD21">
        <v>120</v>
      </c>
      <c r="AE21" t="s">
        <v>46</v>
      </c>
    </row>
    <row r="22" spans="5:31" x14ac:dyDescent="0.25">
      <c r="E22" s="16">
        <v>14188694</v>
      </c>
      <c r="X22" s="16"/>
      <c r="Y22" s="16"/>
      <c r="Z22" s="16"/>
      <c r="AA22" s="7"/>
      <c r="AB22" s="7"/>
      <c r="AC22">
        <v>14191616</v>
      </c>
      <c r="AD22">
        <v>113</v>
      </c>
      <c r="AE22" t="s">
        <v>25</v>
      </c>
    </row>
    <row r="23" spans="5:31" x14ac:dyDescent="0.25">
      <c r="E23" s="16">
        <v>14188696</v>
      </c>
      <c r="X23" s="16"/>
      <c r="Y23" s="16"/>
      <c r="Z23" s="16"/>
      <c r="AA23" s="7"/>
      <c r="AB23" s="7"/>
      <c r="AC23">
        <v>14191595</v>
      </c>
      <c r="AD23">
        <v>103</v>
      </c>
      <c r="AE23" t="s">
        <v>47</v>
      </c>
    </row>
    <row r="24" spans="5:31" x14ac:dyDescent="0.25">
      <c r="E24" s="16">
        <v>14188697</v>
      </c>
      <c r="X24" s="16"/>
      <c r="Y24" s="16"/>
      <c r="Z24" s="16"/>
      <c r="AA24" s="7"/>
      <c r="AB24" s="7"/>
      <c r="AC24">
        <v>14191672</v>
      </c>
      <c r="AD24">
        <v>103</v>
      </c>
      <c r="AE24" t="s">
        <v>48</v>
      </c>
    </row>
    <row r="25" spans="5:31" x14ac:dyDescent="0.25">
      <c r="E25" s="16">
        <v>14188698</v>
      </c>
      <c r="X25" s="16"/>
      <c r="Y25" s="16"/>
      <c r="Z25" s="16"/>
      <c r="AA25" s="7"/>
      <c r="AB25" s="7" t="s">
        <v>51</v>
      </c>
      <c r="AC25">
        <v>14191711</v>
      </c>
      <c r="AD25">
        <v>70</v>
      </c>
      <c r="AE25" t="s">
        <v>49</v>
      </c>
    </row>
    <row r="26" spans="5:31" x14ac:dyDescent="0.25">
      <c r="E26" s="16">
        <v>14188553</v>
      </c>
      <c r="X26" s="16"/>
      <c r="Y26" s="16"/>
      <c r="Z26" s="16"/>
      <c r="AA26" s="7"/>
      <c r="AB26" s="7" t="s">
        <v>51</v>
      </c>
      <c r="AC26">
        <v>14191702</v>
      </c>
      <c r="AD26">
        <v>65</v>
      </c>
      <c r="AE26" t="s">
        <v>33</v>
      </c>
    </row>
    <row r="27" spans="5:31" x14ac:dyDescent="0.25">
      <c r="E27" s="16">
        <v>14188562</v>
      </c>
      <c r="X27" s="16"/>
      <c r="Y27" s="16"/>
      <c r="Z27" s="16"/>
      <c r="AA27" s="7"/>
      <c r="AB27" s="7"/>
      <c r="AC27">
        <v>14191638</v>
      </c>
      <c r="AD27">
        <v>49</v>
      </c>
      <c r="AE27" t="s">
        <v>50</v>
      </c>
    </row>
    <row r="28" spans="5:31" x14ac:dyDescent="0.25">
      <c r="E28" s="16">
        <v>14188572</v>
      </c>
      <c r="X28" s="16"/>
      <c r="Y28" s="16"/>
      <c r="Z28" s="16"/>
      <c r="AA28" s="7"/>
      <c r="AB28" s="7"/>
    </row>
    <row r="29" spans="5:31" x14ac:dyDescent="0.25">
      <c r="E29" s="16">
        <v>14188590</v>
      </c>
      <c r="X29" s="16"/>
      <c r="Y29" s="16"/>
      <c r="Z29" s="16"/>
      <c r="AA29" s="7"/>
      <c r="AB29" s="7"/>
    </row>
    <row r="30" spans="5:31" x14ac:dyDescent="0.25">
      <c r="E30" s="16">
        <v>14188598</v>
      </c>
      <c r="X30" s="16"/>
      <c r="Y30" s="16"/>
      <c r="Z30" s="16"/>
      <c r="AA30" s="7"/>
      <c r="AB30" s="7"/>
    </row>
    <row r="31" spans="5:31" x14ac:dyDescent="0.25">
      <c r="E31" s="16">
        <v>14188609</v>
      </c>
      <c r="AB31" s="7"/>
    </row>
    <row r="32" spans="5:31" x14ac:dyDescent="0.25">
      <c r="E32" s="16">
        <v>14188619</v>
      </c>
      <c r="AB32" s="7"/>
    </row>
    <row r="33" spans="5:5" x14ac:dyDescent="0.25">
      <c r="E33" s="16"/>
    </row>
    <row r="34" spans="5:5" x14ac:dyDescent="0.25">
      <c r="E34" s="16">
        <v>14188637</v>
      </c>
    </row>
    <row r="35" spans="5:5" x14ac:dyDescent="0.25">
      <c r="E35" s="16">
        <v>14188643</v>
      </c>
    </row>
    <row r="36" spans="5:5" x14ac:dyDescent="0.25">
      <c r="E36" s="16">
        <v>14188648</v>
      </c>
    </row>
    <row r="37" spans="5:5" x14ac:dyDescent="0.25">
      <c r="E37" s="16"/>
    </row>
    <row r="38" spans="5:5" x14ac:dyDescent="0.25">
      <c r="E38" s="16">
        <v>14188658</v>
      </c>
    </row>
    <row r="39" spans="5:5" x14ac:dyDescent="0.25">
      <c r="E39" s="16">
        <v>14188663</v>
      </c>
    </row>
    <row r="40" spans="5:5" x14ac:dyDescent="0.25">
      <c r="E40" s="16">
        <v>14188668</v>
      </c>
    </row>
    <row r="41" spans="5:5" x14ac:dyDescent="0.25">
      <c r="E41" s="16">
        <v>14188687</v>
      </c>
    </row>
    <row r="42" spans="5:5" x14ac:dyDescent="0.25">
      <c r="E42" s="16">
        <v>14188584</v>
      </c>
    </row>
    <row r="43" spans="5:5" x14ac:dyDescent="0.25">
      <c r="E43" s="16">
        <v>14188672</v>
      </c>
    </row>
    <row r="44" spans="5:5" x14ac:dyDescent="0.25">
      <c r="E44" s="16"/>
    </row>
    <row r="45" spans="5:5" x14ac:dyDescent="0.25">
      <c r="E45" s="16">
        <v>14188678</v>
      </c>
    </row>
    <row r="46" spans="5:5" x14ac:dyDescent="0.25">
      <c r="E46" s="16">
        <v>14188681</v>
      </c>
    </row>
    <row r="47" spans="5:5" x14ac:dyDescent="0.25">
      <c r="E47" s="16"/>
    </row>
    <row r="48" spans="5:5" x14ac:dyDescent="0.25">
      <c r="E48" s="16"/>
    </row>
    <row r="49" spans="5:5" x14ac:dyDescent="0.25">
      <c r="E49" s="16"/>
    </row>
    <row r="50" spans="5:5" x14ac:dyDescent="0.25">
      <c r="E50" s="16"/>
    </row>
    <row r="51" spans="5:5" x14ac:dyDescent="0.25">
      <c r="E51" s="16"/>
    </row>
    <row r="52" spans="5:5" x14ac:dyDescent="0.25">
      <c r="E52" s="16"/>
    </row>
    <row r="53" spans="5:5" x14ac:dyDescent="0.25">
      <c r="E53" s="16"/>
    </row>
    <row r="54" spans="5:5" x14ac:dyDescent="0.25">
      <c r="E54" s="16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1:T52"/>
  <sheetViews>
    <sheetView showGridLines="0" topLeftCell="J1" zoomScale="80" zoomScaleNormal="80" workbookViewId="0">
      <selection activeCell="J6" sqref="J6"/>
    </sheetView>
  </sheetViews>
  <sheetFormatPr baseColWidth="10" defaultRowHeight="15" x14ac:dyDescent="0.25"/>
  <cols>
    <col min="1" max="1" width="0" hidden="1" customWidth="1"/>
    <col min="2" max="2" width="7.28515625" customWidth="1"/>
    <col min="3" max="3" width="10.7109375" style="1" bestFit="1" customWidth="1"/>
    <col min="4" max="4" width="14.140625" style="1" bestFit="1" customWidth="1"/>
    <col min="5" max="5" width="11" style="4" bestFit="1" customWidth="1"/>
    <col min="6" max="6" width="34.5703125" style="1" customWidth="1"/>
    <col min="7" max="7" width="12.7109375" style="1" customWidth="1"/>
    <col min="8" max="8" width="13.28515625" style="1" customWidth="1"/>
    <col min="9" max="9" width="14.140625" style="1" customWidth="1"/>
    <col min="10" max="10" width="23.5703125" style="1" customWidth="1"/>
    <col min="11" max="11" width="15.42578125" customWidth="1"/>
    <col min="12" max="12" width="16.7109375" customWidth="1"/>
    <col min="13" max="13" width="37.28515625" customWidth="1"/>
    <col min="14" max="14" width="12.7109375" bestFit="1" customWidth="1"/>
    <col min="16" max="17" width="20.85546875" style="1" bestFit="1" customWidth="1"/>
    <col min="20" max="20" width="19" customWidth="1"/>
  </cols>
  <sheetData>
    <row r="1" spans="3:20" x14ac:dyDescent="0.25">
      <c r="R1" s="13">
        <v>2</v>
      </c>
      <c r="S1" s="13">
        <v>2</v>
      </c>
    </row>
    <row r="2" spans="3:20" ht="15.75" thickBot="1" x14ac:dyDescent="0.3"/>
    <row r="3" spans="3:20" ht="45.75" thickBot="1" x14ac:dyDescent="0.3">
      <c r="C3" s="18" t="s">
        <v>1</v>
      </c>
      <c r="D3" s="18" t="s">
        <v>2</v>
      </c>
      <c r="E3" s="19" t="s">
        <v>3</v>
      </c>
      <c r="F3" s="18" t="s">
        <v>0</v>
      </c>
      <c r="G3" s="20" t="s">
        <v>4</v>
      </c>
      <c r="H3" s="20" t="s">
        <v>5</v>
      </c>
      <c r="I3" s="20" t="s">
        <v>6</v>
      </c>
      <c r="J3" s="20" t="s">
        <v>7</v>
      </c>
      <c r="K3" s="20" t="s">
        <v>8</v>
      </c>
      <c r="L3" s="20" t="s">
        <v>12</v>
      </c>
      <c r="M3" s="20" t="s">
        <v>9</v>
      </c>
    </row>
    <row r="4" spans="3:20" ht="21.75" customHeight="1" thickBot="1" x14ac:dyDescent="0.3">
      <c r="C4" s="2">
        <v>14189282</v>
      </c>
      <c r="D4" s="2">
        <v>1040685</v>
      </c>
      <c r="E4" s="5">
        <v>4881092</v>
      </c>
      <c r="F4" s="2" t="s">
        <v>29</v>
      </c>
      <c r="G4" s="3">
        <v>423</v>
      </c>
      <c r="H4" s="10">
        <v>436.31799999999998</v>
      </c>
      <c r="I4" s="10">
        <v>436.31799999999998</v>
      </c>
      <c r="J4" s="2" t="str">
        <f>IFERROR(IF(AND(H4="",I4=""),"",IF((H4-I4)&gt;0.001,"ERROR O PENDIENTE NOTIFICAR","OK")),"")</f>
        <v>OK</v>
      </c>
      <c r="K4" s="2">
        <f>IF((H4-INT(H4))&lt;0.5,ROUNDDOWN(H4,0),IF((H4-INT(H4))&gt;=0.5,ROUNDUP(H4,0),""))</f>
        <v>436</v>
      </c>
      <c r="L4" s="8" t="s">
        <v>28</v>
      </c>
      <c r="M4" s="8"/>
    </row>
    <row r="5" spans="3:20" ht="21.75" customHeight="1" thickBot="1" x14ac:dyDescent="0.3">
      <c r="C5" s="2">
        <v>14189285</v>
      </c>
      <c r="D5" s="2">
        <v>1040684</v>
      </c>
      <c r="E5" s="5">
        <v>4881091</v>
      </c>
      <c r="F5" s="2" t="s">
        <v>30</v>
      </c>
      <c r="G5" s="2">
        <v>242</v>
      </c>
      <c r="H5" s="2">
        <v>234.18199999999999</v>
      </c>
      <c r="I5" s="2">
        <v>234.18199999999999</v>
      </c>
      <c r="J5" s="2" t="str">
        <f t="shared" ref="J5:J52" si="0">IFERROR(IF(AND(H5="",I5=""),"",IF((H5-I5)&gt;0.001,"ERROR O PENDIENTE NOTIFICAR","OK")),"")</f>
        <v>OK</v>
      </c>
      <c r="K5" s="2">
        <f>IF((H5-INT(H5))&lt;0.5,ROUNDDOWN(H5,0),IF((H5-INT(H5))&gt;=0.5,ROUNDUP(H5,0),""))</f>
        <v>234</v>
      </c>
      <c r="L5" s="8" t="s">
        <v>28</v>
      </c>
      <c r="M5" s="8"/>
      <c r="P5" s="12">
        <v>-4198518</v>
      </c>
      <c r="Q5" s="7">
        <v>-7806</v>
      </c>
      <c r="T5" s="37">
        <f>IF(P5&lt;0,P5*-1,P5)</f>
        <v>4198518</v>
      </c>
    </row>
    <row r="6" spans="3:20" ht="21.75" customHeight="1" thickBot="1" x14ac:dyDescent="0.3">
      <c r="C6" s="2">
        <v>14189245</v>
      </c>
      <c r="D6" s="2">
        <v>1040852</v>
      </c>
      <c r="E6" s="5">
        <v>4881094</v>
      </c>
      <c r="F6" s="2" t="s">
        <v>31</v>
      </c>
      <c r="G6" s="2">
        <v>199</v>
      </c>
      <c r="H6" s="2">
        <v>182</v>
      </c>
      <c r="I6" s="2">
        <v>182</v>
      </c>
      <c r="J6" s="2" t="str">
        <f t="shared" si="0"/>
        <v>OK</v>
      </c>
      <c r="K6" s="2">
        <f t="shared" ref="K6:K52" si="1">IF((H6-INT(H6))&lt;0.5,ROUNDDOWN(H6,0),IF((H6-INT(H6))&gt;=0.5,ROUNDUP(H6,0),""))</f>
        <v>182</v>
      </c>
      <c r="L6" s="8" t="s">
        <v>28</v>
      </c>
      <c r="M6" s="8"/>
      <c r="P6" s="7">
        <v>-16886046</v>
      </c>
      <c r="Q6" s="7">
        <v>-7806</v>
      </c>
      <c r="T6" s="37"/>
    </row>
    <row r="7" spans="3:20" ht="21.75" customHeight="1" thickBot="1" x14ac:dyDescent="0.4">
      <c r="C7" s="2">
        <v>14189279</v>
      </c>
      <c r="D7" s="2">
        <v>1000862</v>
      </c>
      <c r="E7" s="5">
        <v>4881057</v>
      </c>
      <c r="F7" s="2" t="s">
        <v>32</v>
      </c>
      <c r="G7" s="2">
        <v>124</v>
      </c>
      <c r="H7" s="2">
        <v>129.61099999999999</v>
      </c>
      <c r="I7" s="2">
        <v>129.61099999999999</v>
      </c>
      <c r="J7" s="2" t="str">
        <f t="shared" si="0"/>
        <v>OK</v>
      </c>
      <c r="K7" s="2">
        <f t="shared" si="1"/>
        <v>130</v>
      </c>
      <c r="L7" s="8" t="s">
        <v>28</v>
      </c>
      <c r="M7" s="8"/>
      <c r="N7" s="34" t="s">
        <v>10</v>
      </c>
      <c r="O7" s="35"/>
      <c r="P7" s="7">
        <v>-16886046</v>
      </c>
      <c r="Q7" s="7">
        <v>-7806</v>
      </c>
      <c r="T7" s="6">
        <f>IF(P8&lt;0,P8*-1,P8)</f>
        <v>162358</v>
      </c>
    </row>
    <row r="8" spans="3:20" ht="21.75" customHeight="1" thickBot="1" x14ac:dyDescent="0.4">
      <c r="C8" s="2">
        <v>14189276</v>
      </c>
      <c r="D8" s="2">
        <v>1054254</v>
      </c>
      <c r="E8" s="5">
        <v>4881102</v>
      </c>
      <c r="F8" s="2" t="s">
        <v>33</v>
      </c>
      <c r="G8" s="2">
        <v>65</v>
      </c>
      <c r="H8" s="2">
        <v>54.194000000000003</v>
      </c>
      <c r="I8" s="2">
        <v>54.194000000000003</v>
      </c>
      <c r="J8" s="2" t="str">
        <f t="shared" si="0"/>
        <v>OK</v>
      </c>
      <c r="K8" s="2">
        <f t="shared" si="1"/>
        <v>54</v>
      </c>
      <c r="L8" s="8" t="s">
        <v>28</v>
      </c>
      <c r="M8" s="8"/>
      <c r="N8" s="34" t="s">
        <v>11</v>
      </c>
      <c r="O8" s="35"/>
      <c r="P8" s="12">
        <v>162358</v>
      </c>
      <c r="Q8" s="12">
        <v>129823</v>
      </c>
      <c r="T8" s="6">
        <f>IF(Q8&lt;0,Q8*-1,Q8)</f>
        <v>129823</v>
      </c>
    </row>
    <row r="9" spans="3:20" ht="21.75" customHeight="1" thickBot="1" x14ac:dyDescent="0.3">
      <c r="C9" s="2"/>
      <c r="D9" s="2"/>
      <c r="E9" s="5"/>
      <c r="F9" s="2"/>
      <c r="G9" s="2"/>
      <c r="H9" s="2"/>
      <c r="I9" s="2"/>
      <c r="J9" s="2" t="str">
        <f t="shared" si="0"/>
        <v/>
      </c>
      <c r="K9" s="2">
        <f t="shared" si="1"/>
        <v>0</v>
      </c>
      <c r="L9" s="8"/>
      <c r="M9" s="8"/>
      <c r="P9" s="36">
        <f>(T7/T5)*100</f>
        <v>3.8670311762388541</v>
      </c>
      <c r="Q9" s="36">
        <f>(T8/T5)*100</f>
        <v>3.0921148843472865</v>
      </c>
    </row>
    <row r="10" spans="3:20" ht="21.75" customHeight="1" thickBot="1" x14ac:dyDescent="0.3">
      <c r="C10" s="2"/>
      <c r="D10" s="2"/>
      <c r="E10" s="5"/>
      <c r="F10" s="2"/>
      <c r="G10" s="2"/>
      <c r="H10" s="2"/>
      <c r="I10" s="2"/>
      <c r="J10" s="2" t="str">
        <f t="shared" si="0"/>
        <v/>
      </c>
      <c r="K10" s="2">
        <f t="shared" si="1"/>
        <v>0</v>
      </c>
      <c r="L10" s="8"/>
      <c r="M10" s="8"/>
      <c r="P10" s="36"/>
      <c r="Q10" s="36"/>
    </row>
    <row r="11" spans="3:20" ht="21.75" customHeight="1" thickBot="1" x14ac:dyDescent="0.3">
      <c r="C11" s="2"/>
      <c r="D11" s="2"/>
      <c r="E11" s="5"/>
      <c r="F11" s="2"/>
      <c r="G11" s="3"/>
      <c r="H11" s="10"/>
      <c r="I11" s="10"/>
      <c r="J11" s="2" t="str">
        <f t="shared" si="0"/>
        <v/>
      </c>
      <c r="K11" s="2">
        <f t="shared" si="1"/>
        <v>0</v>
      </c>
      <c r="L11" s="8"/>
      <c r="M11" s="8"/>
      <c r="P11" s="9"/>
      <c r="T11" t="str">
        <f>IFERROR(IF(LEN(MID(P8,FIND(".",P8)+1,4))=0,P8&amp;"000",IF(LEN(MID(P8,FIND(".",P8)+1,4))=1,P8&amp;"00",IF(LEN(MID(P8,FIND(".",P8)+1,4))=2,P8&amp;"0","E"))),"E")</f>
        <v>E</v>
      </c>
    </row>
    <row r="12" spans="3:20" ht="21.75" customHeight="1" thickBot="1" x14ac:dyDescent="0.3">
      <c r="C12" s="2"/>
      <c r="D12" s="2"/>
      <c r="E12" s="5"/>
      <c r="F12" s="2"/>
      <c r="G12" s="2"/>
      <c r="H12" s="2"/>
      <c r="I12" s="2"/>
      <c r="J12" s="2" t="str">
        <f t="shared" si="0"/>
        <v/>
      </c>
      <c r="K12" s="2">
        <f t="shared" si="1"/>
        <v>0</v>
      </c>
      <c r="L12" s="8"/>
      <c r="M12" s="8"/>
      <c r="T12" t="str">
        <f>IFERROR(IF(LEN(MID(Q8,FIND(".",Q8)+1,4))=0,Q8&amp;"000",IF(LEN(MID(Q8,FIND(".",Q8)+1,4))=1,Q8&amp;"00",IF(LEN(MID(Q8,FIND(".",Q8)+1,4))=2,Q8&amp;"0","E"))),"E")</f>
        <v>E</v>
      </c>
    </row>
    <row r="13" spans="3:20" ht="21.75" customHeight="1" thickBot="1" x14ac:dyDescent="0.3">
      <c r="C13" s="2"/>
      <c r="D13" s="2"/>
      <c r="E13" s="5"/>
      <c r="F13" s="2"/>
      <c r="G13" s="2"/>
      <c r="H13" s="2"/>
      <c r="I13" s="2"/>
      <c r="J13" s="2" t="str">
        <f t="shared" si="0"/>
        <v/>
      </c>
      <c r="K13" s="2">
        <f t="shared" si="1"/>
        <v>0</v>
      </c>
      <c r="L13" s="8"/>
      <c r="M13" s="8"/>
    </row>
    <row r="14" spans="3:20" ht="21.75" customHeight="1" thickBot="1" x14ac:dyDescent="0.3">
      <c r="C14" s="2"/>
      <c r="D14" s="2"/>
      <c r="E14" s="5"/>
      <c r="F14" s="2"/>
      <c r="G14" s="2"/>
      <c r="H14" s="2"/>
      <c r="I14" s="2"/>
      <c r="J14" s="2" t="str">
        <f t="shared" si="0"/>
        <v/>
      </c>
      <c r="K14" s="2">
        <f t="shared" si="1"/>
        <v>0</v>
      </c>
      <c r="L14" s="8"/>
      <c r="M14" s="8"/>
    </row>
    <row r="15" spans="3:20" ht="21.75" customHeight="1" thickBot="1" x14ac:dyDescent="0.3">
      <c r="C15" s="2"/>
      <c r="D15" s="2"/>
      <c r="E15" s="5"/>
      <c r="F15" s="2"/>
      <c r="G15" s="2"/>
      <c r="H15" s="2"/>
      <c r="I15" s="2"/>
      <c r="J15" s="2" t="str">
        <f t="shared" si="0"/>
        <v/>
      </c>
      <c r="K15" s="2">
        <f t="shared" si="1"/>
        <v>0</v>
      </c>
      <c r="L15" s="8"/>
      <c r="M15" s="8"/>
    </row>
    <row r="16" spans="3:20" ht="21.75" customHeight="1" thickBot="1" x14ac:dyDescent="0.3">
      <c r="C16" s="2"/>
      <c r="D16" s="2"/>
      <c r="E16" s="5"/>
      <c r="F16" s="2"/>
      <c r="G16" s="3"/>
      <c r="H16" s="2"/>
      <c r="I16" s="2"/>
      <c r="J16" s="2" t="str">
        <f t="shared" si="0"/>
        <v/>
      </c>
      <c r="K16" s="2">
        <f t="shared" si="1"/>
        <v>0</v>
      </c>
      <c r="L16" s="8"/>
      <c r="M16" s="8"/>
    </row>
    <row r="17" spans="3:20" ht="21.75" customHeight="1" thickBot="1" x14ac:dyDescent="0.3">
      <c r="C17" s="2"/>
      <c r="D17" s="2"/>
      <c r="E17" s="5"/>
      <c r="F17" s="2"/>
      <c r="G17" s="2"/>
      <c r="H17" s="2"/>
      <c r="I17" s="2"/>
      <c r="J17" s="2" t="str">
        <f t="shared" si="0"/>
        <v/>
      </c>
      <c r="K17" s="2">
        <f t="shared" si="1"/>
        <v>0</v>
      </c>
      <c r="L17" s="8"/>
      <c r="M17" s="8"/>
      <c r="R17" s="7"/>
    </row>
    <row r="18" spans="3:20" ht="21.75" customHeight="1" thickBot="1" x14ac:dyDescent="0.3">
      <c r="C18" s="2"/>
      <c r="D18" s="2"/>
      <c r="E18" s="5"/>
      <c r="F18" s="2"/>
      <c r="G18" s="2"/>
      <c r="H18" s="2"/>
      <c r="I18" s="2"/>
      <c r="J18" s="2" t="str">
        <f t="shared" si="0"/>
        <v/>
      </c>
      <c r="K18" s="2">
        <f t="shared" si="1"/>
        <v>0</v>
      </c>
      <c r="L18" s="8"/>
      <c r="M18" s="8"/>
    </row>
    <row r="19" spans="3:20" ht="21.75" customHeight="1" thickBot="1" x14ac:dyDescent="0.3">
      <c r="C19" s="2"/>
      <c r="D19" s="2"/>
      <c r="E19" s="5"/>
      <c r="F19" s="2"/>
      <c r="G19" s="2"/>
      <c r="H19" s="2"/>
      <c r="I19" s="2"/>
      <c r="J19" s="2" t="str">
        <f t="shared" si="0"/>
        <v/>
      </c>
      <c r="K19" s="2">
        <f t="shared" si="1"/>
        <v>0</v>
      </c>
      <c r="L19" s="8"/>
      <c r="M19" s="8"/>
    </row>
    <row r="20" spans="3:20" ht="21.75" customHeight="1" thickBot="1" x14ac:dyDescent="0.4">
      <c r="C20" s="2"/>
      <c r="D20" s="2"/>
      <c r="E20" s="5"/>
      <c r="F20" s="2"/>
      <c r="G20" s="2"/>
      <c r="H20" s="2"/>
      <c r="I20" s="2"/>
      <c r="J20" s="2" t="str">
        <f t="shared" si="0"/>
        <v/>
      </c>
      <c r="K20" s="2">
        <f t="shared" si="1"/>
        <v>0</v>
      </c>
      <c r="L20" s="8"/>
      <c r="M20" s="8"/>
      <c r="N20" s="34" t="s">
        <v>10</v>
      </c>
      <c r="O20" s="35"/>
      <c r="T20" s="11"/>
    </row>
    <row r="21" spans="3:20" ht="21.75" customHeight="1" thickBot="1" x14ac:dyDescent="0.4">
      <c r="C21" s="2"/>
      <c r="D21" s="2"/>
      <c r="E21" s="5"/>
      <c r="F21" s="2"/>
      <c r="G21" s="2"/>
      <c r="H21" s="2"/>
      <c r="I21" s="2"/>
      <c r="J21" s="2" t="str">
        <f t="shared" si="0"/>
        <v/>
      </c>
      <c r="K21" s="2">
        <f t="shared" si="1"/>
        <v>0</v>
      </c>
      <c r="L21" s="8"/>
      <c r="M21" s="8"/>
      <c r="N21" s="34" t="s">
        <v>13</v>
      </c>
      <c r="O21" s="35"/>
    </row>
    <row r="22" spans="3:20" ht="21.75" customHeight="1" thickBot="1" x14ac:dyDescent="0.3">
      <c r="C22" s="2"/>
      <c r="D22" s="2"/>
      <c r="E22" s="5"/>
      <c r="F22" s="2"/>
      <c r="G22" s="2"/>
      <c r="H22" s="2"/>
      <c r="I22" s="2"/>
      <c r="J22" s="2" t="str">
        <f t="shared" si="0"/>
        <v/>
      </c>
      <c r="K22" s="2">
        <f t="shared" si="1"/>
        <v>0</v>
      </c>
      <c r="L22" s="8"/>
      <c r="M22" s="8"/>
    </row>
    <row r="23" spans="3:20" ht="21.75" customHeight="1" thickBot="1" x14ac:dyDescent="0.3">
      <c r="C23" s="2"/>
      <c r="D23" s="2"/>
      <c r="E23" s="5"/>
      <c r="F23" s="2"/>
      <c r="G23" s="2"/>
      <c r="H23" s="2"/>
      <c r="I23" s="2"/>
      <c r="J23" s="2" t="str">
        <f t="shared" si="0"/>
        <v/>
      </c>
      <c r="K23" s="2">
        <f t="shared" si="1"/>
        <v>0</v>
      </c>
      <c r="L23" s="8"/>
      <c r="M23" s="8"/>
    </row>
    <row r="24" spans="3:20" ht="21.75" customHeight="1" thickBot="1" x14ac:dyDescent="0.3">
      <c r="C24" s="2"/>
      <c r="D24" s="2"/>
      <c r="E24" s="5"/>
      <c r="F24" s="2"/>
      <c r="G24" s="2"/>
      <c r="H24" s="2"/>
      <c r="I24" s="2"/>
      <c r="J24" s="2" t="str">
        <f t="shared" si="0"/>
        <v/>
      </c>
      <c r="K24" s="2">
        <f t="shared" si="1"/>
        <v>0</v>
      </c>
      <c r="L24" s="8"/>
      <c r="M24" s="8"/>
    </row>
    <row r="25" spans="3:20" ht="21.75" customHeight="1" thickBot="1" x14ac:dyDescent="0.3">
      <c r="C25" s="2"/>
      <c r="D25" s="2"/>
      <c r="E25" s="5"/>
      <c r="F25" s="2"/>
      <c r="G25" s="2"/>
      <c r="H25" s="2"/>
      <c r="I25" s="2"/>
      <c r="J25" s="2" t="str">
        <f t="shared" si="0"/>
        <v/>
      </c>
      <c r="K25" s="2">
        <f t="shared" si="1"/>
        <v>0</v>
      </c>
      <c r="L25" s="8"/>
      <c r="M25" s="8"/>
    </row>
    <row r="26" spans="3:20" ht="21.75" customHeight="1" thickBot="1" x14ac:dyDescent="0.3">
      <c r="C26" s="2"/>
      <c r="D26" s="2"/>
      <c r="E26" s="5"/>
      <c r="F26" s="2"/>
      <c r="G26" s="2"/>
      <c r="H26" s="2"/>
      <c r="I26" s="2"/>
      <c r="J26" s="2" t="str">
        <f t="shared" si="0"/>
        <v/>
      </c>
      <c r="K26" s="2">
        <f t="shared" si="1"/>
        <v>0</v>
      </c>
      <c r="L26" s="8"/>
      <c r="M26" s="8"/>
    </row>
    <row r="27" spans="3:20" ht="21.75" customHeight="1" thickBot="1" x14ac:dyDescent="0.3">
      <c r="C27" s="2"/>
      <c r="D27" s="2"/>
      <c r="E27" s="5"/>
      <c r="F27" s="2"/>
      <c r="G27" s="2"/>
      <c r="H27" s="2"/>
      <c r="I27" s="2"/>
      <c r="J27" s="2" t="str">
        <f t="shared" si="0"/>
        <v/>
      </c>
      <c r="K27" s="2">
        <f t="shared" si="1"/>
        <v>0</v>
      </c>
      <c r="L27" s="8"/>
      <c r="M27" s="8"/>
    </row>
    <row r="28" spans="3:20" ht="21.75" customHeight="1" thickBot="1" x14ac:dyDescent="0.3">
      <c r="C28" s="2"/>
      <c r="D28" s="2"/>
      <c r="E28" s="5"/>
      <c r="F28" s="2"/>
      <c r="G28" s="2"/>
      <c r="H28" s="2"/>
      <c r="I28" s="2"/>
      <c r="J28" s="2" t="str">
        <f t="shared" si="0"/>
        <v/>
      </c>
      <c r="K28" s="2">
        <f t="shared" si="1"/>
        <v>0</v>
      </c>
      <c r="L28" s="8"/>
      <c r="M28" s="8"/>
    </row>
    <row r="29" spans="3:20" ht="21.75" customHeight="1" thickBot="1" x14ac:dyDescent="0.3">
      <c r="C29" s="2"/>
      <c r="D29" s="2"/>
      <c r="E29" s="5"/>
      <c r="F29" s="2"/>
      <c r="G29" s="2"/>
      <c r="H29" s="2"/>
      <c r="I29" s="2"/>
      <c r="J29" s="2" t="str">
        <f t="shared" si="0"/>
        <v/>
      </c>
      <c r="K29" s="2">
        <f t="shared" si="1"/>
        <v>0</v>
      </c>
      <c r="L29" s="8"/>
      <c r="M29" s="8"/>
    </row>
    <row r="30" spans="3:20" ht="21.75" customHeight="1" thickBot="1" x14ac:dyDescent="0.3">
      <c r="C30" s="2"/>
      <c r="D30" s="2"/>
      <c r="E30" s="5"/>
      <c r="F30" s="2"/>
      <c r="G30" s="2"/>
      <c r="H30" s="2"/>
      <c r="I30" s="2"/>
      <c r="J30" s="2" t="str">
        <f t="shared" si="0"/>
        <v/>
      </c>
      <c r="K30" s="2">
        <f t="shared" si="1"/>
        <v>0</v>
      </c>
      <c r="L30" s="8"/>
      <c r="M30" s="8"/>
    </row>
    <row r="31" spans="3:20" ht="21.75" customHeight="1" thickBot="1" x14ac:dyDescent="0.3">
      <c r="C31" s="2"/>
      <c r="D31" s="2"/>
      <c r="E31" s="5"/>
      <c r="F31" s="2"/>
      <c r="G31" s="2"/>
      <c r="H31" s="2"/>
      <c r="I31" s="2"/>
      <c r="J31" s="2" t="str">
        <f t="shared" si="0"/>
        <v/>
      </c>
      <c r="K31" s="2">
        <f t="shared" si="1"/>
        <v>0</v>
      </c>
      <c r="L31" s="8"/>
      <c r="M31" s="8"/>
    </row>
    <row r="32" spans="3:20" ht="21.75" customHeight="1" thickBot="1" x14ac:dyDescent="0.3">
      <c r="C32" s="2"/>
      <c r="D32" s="2"/>
      <c r="E32" s="5"/>
      <c r="F32" s="2"/>
      <c r="G32" s="2"/>
      <c r="H32" s="2"/>
      <c r="I32" s="2"/>
      <c r="J32" s="2" t="str">
        <f t="shared" si="0"/>
        <v/>
      </c>
      <c r="K32" s="2">
        <f t="shared" si="1"/>
        <v>0</v>
      </c>
      <c r="L32" s="8"/>
      <c r="M32" s="8"/>
    </row>
    <row r="33" spans="3:13" ht="21.75" customHeight="1" thickBot="1" x14ac:dyDescent="0.3">
      <c r="C33" s="2"/>
      <c r="D33" s="2"/>
      <c r="E33" s="5"/>
      <c r="F33" s="2"/>
      <c r="G33" s="2"/>
      <c r="H33" s="2"/>
      <c r="I33" s="2"/>
      <c r="J33" s="2" t="str">
        <f t="shared" si="0"/>
        <v/>
      </c>
      <c r="K33" s="2">
        <f t="shared" si="1"/>
        <v>0</v>
      </c>
      <c r="L33" s="8"/>
      <c r="M33" s="8"/>
    </row>
    <row r="34" spans="3:13" ht="21.75" customHeight="1" thickBot="1" x14ac:dyDescent="0.3">
      <c r="C34" s="2"/>
      <c r="D34" s="2"/>
      <c r="E34" s="5"/>
      <c r="F34" s="2"/>
      <c r="G34" s="2"/>
      <c r="H34" s="2"/>
      <c r="I34" s="2"/>
      <c r="J34" s="2" t="str">
        <f t="shared" si="0"/>
        <v/>
      </c>
      <c r="K34" s="2">
        <f t="shared" si="1"/>
        <v>0</v>
      </c>
      <c r="L34" s="8"/>
      <c r="M34" s="8"/>
    </row>
    <row r="35" spans="3:13" ht="21.75" customHeight="1" thickBot="1" x14ac:dyDescent="0.3">
      <c r="C35" s="2"/>
      <c r="D35" s="2"/>
      <c r="E35" s="5"/>
      <c r="F35" s="2"/>
      <c r="G35" s="2"/>
      <c r="H35" s="2"/>
      <c r="I35" s="2"/>
      <c r="J35" s="2" t="str">
        <f t="shared" si="0"/>
        <v/>
      </c>
      <c r="K35" s="2">
        <f t="shared" si="1"/>
        <v>0</v>
      </c>
      <c r="L35" s="8"/>
      <c r="M35" s="8"/>
    </row>
    <row r="36" spans="3:13" ht="21.75" customHeight="1" thickBot="1" x14ac:dyDescent="0.3">
      <c r="C36" s="2"/>
      <c r="D36" s="2"/>
      <c r="E36" s="5"/>
      <c r="F36" s="2"/>
      <c r="G36" s="2"/>
      <c r="H36" s="2"/>
      <c r="I36" s="2"/>
      <c r="J36" s="2" t="str">
        <f t="shared" si="0"/>
        <v/>
      </c>
      <c r="K36" s="2">
        <f t="shared" si="1"/>
        <v>0</v>
      </c>
      <c r="L36" s="8"/>
      <c r="M36" s="8"/>
    </row>
    <row r="37" spans="3:13" ht="21.75" customHeight="1" thickBot="1" x14ac:dyDescent="0.3">
      <c r="C37" s="2"/>
      <c r="D37" s="2"/>
      <c r="E37" s="5"/>
      <c r="F37" s="2"/>
      <c r="G37" s="2"/>
      <c r="H37" s="2"/>
      <c r="I37" s="2"/>
      <c r="J37" s="2" t="str">
        <f t="shared" si="0"/>
        <v/>
      </c>
      <c r="K37" s="2">
        <f t="shared" si="1"/>
        <v>0</v>
      </c>
      <c r="L37" s="8"/>
      <c r="M37" s="8"/>
    </row>
    <row r="38" spans="3:13" ht="21.75" customHeight="1" thickBot="1" x14ac:dyDescent="0.3">
      <c r="C38" s="2"/>
      <c r="D38" s="2"/>
      <c r="E38" s="5"/>
      <c r="F38" s="2"/>
      <c r="G38" s="2"/>
      <c r="H38" s="2"/>
      <c r="I38" s="2"/>
      <c r="J38" s="2" t="str">
        <f t="shared" si="0"/>
        <v/>
      </c>
      <c r="K38" s="2">
        <f t="shared" si="1"/>
        <v>0</v>
      </c>
      <c r="L38" s="8"/>
      <c r="M38" s="8"/>
    </row>
    <row r="39" spans="3:13" ht="21.75" customHeight="1" thickBot="1" x14ac:dyDescent="0.3">
      <c r="C39" s="2"/>
      <c r="D39" s="2"/>
      <c r="E39" s="5"/>
      <c r="F39" s="2"/>
      <c r="G39" s="2"/>
      <c r="H39" s="2"/>
      <c r="I39" s="2"/>
      <c r="J39" s="2" t="str">
        <f t="shared" si="0"/>
        <v/>
      </c>
      <c r="K39" s="2">
        <f t="shared" si="1"/>
        <v>0</v>
      </c>
      <c r="L39" s="8"/>
      <c r="M39" s="8"/>
    </row>
    <row r="40" spans="3:13" ht="21.75" customHeight="1" thickBot="1" x14ac:dyDescent="0.3">
      <c r="C40" s="2"/>
      <c r="D40" s="2"/>
      <c r="E40" s="5"/>
      <c r="F40" s="2"/>
      <c r="G40" s="2"/>
      <c r="H40" s="2"/>
      <c r="I40" s="2"/>
      <c r="J40" s="2" t="str">
        <f t="shared" si="0"/>
        <v/>
      </c>
      <c r="K40" s="2">
        <f t="shared" si="1"/>
        <v>0</v>
      </c>
      <c r="L40" s="8"/>
      <c r="M40" s="8"/>
    </row>
    <row r="41" spans="3:13" ht="21.75" customHeight="1" thickBot="1" x14ac:dyDescent="0.3">
      <c r="C41" s="2"/>
      <c r="D41" s="2"/>
      <c r="E41" s="5"/>
      <c r="F41" s="2"/>
      <c r="G41" s="2"/>
      <c r="H41" s="2"/>
      <c r="I41" s="2"/>
      <c r="J41" s="2" t="str">
        <f t="shared" si="0"/>
        <v/>
      </c>
      <c r="K41" s="2">
        <f t="shared" si="1"/>
        <v>0</v>
      </c>
      <c r="L41" s="8"/>
      <c r="M41" s="8"/>
    </row>
    <row r="42" spans="3:13" ht="21.75" customHeight="1" thickBot="1" x14ac:dyDescent="0.3">
      <c r="C42" s="2"/>
      <c r="D42" s="2"/>
      <c r="E42" s="5"/>
      <c r="F42" s="2"/>
      <c r="G42" s="2"/>
      <c r="H42" s="2"/>
      <c r="I42" s="2"/>
      <c r="J42" s="2" t="str">
        <f t="shared" si="0"/>
        <v/>
      </c>
      <c r="K42" s="2">
        <f t="shared" si="1"/>
        <v>0</v>
      </c>
      <c r="L42" s="8"/>
      <c r="M42" s="8"/>
    </row>
    <row r="43" spans="3:13" ht="21.75" customHeight="1" thickBot="1" x14ac:dyDescent="0.3">
      <c r="C43" s="2"/>
      <c r="D43" s="2"/>
      <c r="E43" s="5"/>
      <c r="F43" s="2"/>
      <c r="G43" s="2"/>
      <c r="H43" s="2"/>
      <c r="I43" s="2"/>
      <c r="J43" s="2" t="str">
        <f t="shared" si="0"/>
        <v/>
      </c>
      <c r="K43" s="2">
        <f t="shared" si="1"/>
        <v>0</v>
      </c>
      <c r="L43" s="8"/>
      <c r="M43" s="8"/>
    </row>
    <row r="44" spans="3:13" ht="21.75" customHeight="1" thickBot="1" x14ac:dyDescent="0.3">
      <c r="C44" s="2"/>
      <c r="D44" s="2"/>
      <c r="E44" s="5"/>
      <c r="F44" s="2"/>
      <c r="G44" s="2"/>
      <c r="H44" s="2"/>
      <c r="I44" s="2"/>
      <c r="J44" s="2" t="str">
        <f t="shared" si="0"/>
        <v/>
      </c>
      <c r="K44" s="2">
        <f t="shared" si="1"/>
        <v>0</v>
      </c>
      <c r="L44" s="8"/>
      <c r="M44" s="8"/>
    </row>
    <row r="45" spans="3:13" ht="21.75" customHeight="1" thickBot="1" x14ac:dyDescent="0.3">
      <c r="C45" s="2"/>
      <c r="D45" s="2"/>
      <c r="E45" s="5"/>
      <c r="F45" s="2"/>
      <c r="G45" s="2"/>
      <c r="H45" s="2"/>
      <c r="I45" s="2"/>
      <c r="J45" s="2" t="str">
        <f t="shared" si="0"/>
        <v/>
      </c>
      <c r="K45" s="2">
        <f t="shared" si="1"/>
        <v>0</v>
      </c>
      <c r="L45" s="8"/>
      <c r="M45" s="8"/>
    </row>
    <row r="46" spans="3:13" ht="21.75" customHeight="1" thickBot="1" x14ac:dyDescent="0.3">
      <c r="C46" s="2"/>
      <c r="D46" s="2"/>
      <c r="E46" s="5"/>
      <c r="F46" s="2"/>
      <c r="G46" s="2"/>
      <c r="H46" s="2"/>
      <c r="I46" s="2"/>
      <c r="J46" s="2" t="str">
        <f t="shared" si="0"/>
        <v/>
      </c>
      <c r="K46" s="2">
        <f t="shared" si="1"/>
        <v>0</v>
      </c>
      <c r="L46" s="8"/>
      <c r="M46" s="8"/>
    </row>
    <row r="47" spans="3:13" ht="21.75" customHeight="1" thickBot="1" x14ac:dyDescent="0.3">
      <c r="C47" s="2"/>
      <c r="D47" s="2"/>
      <c r="E47" s="5"/>
      <c r="F47" s="2"/>
      <c r="G47" s="2"/>
      <c r="H47" s="2"/>
      <c r="I47" s="2"/>
      <c r="J47" s="2" t="str">
        <f t="shared" si="0"/>
        <v/>
      </c>
      <c r="K47" s="2">
        <f t="shared" si="1"/>
        <v>0</v>
      </c>
      <c r="L47" s="8"/>
      <c r="M47" s="8"/>
    </row>
    <row r="48" spans="3:13" ht="21.75" customHeight="1" thickBot="1" x14ac:dyDescent="0.3">
      <c r="C48" s="2"/>
      <c r="D48" s="2"/>
      <c r="E48" s="5"/>
      <c r="F48" s="2"/>
      <c r="G48" s="2"/>
      <c r="H48" s="2"/>
      <c r="I48" s="2"/>
      <c r="J48" s="2" t="str">
        <f t="shared" si="0"/>
        <v/>
      </c>
      <c r="K48" s="2">
        <f t="shared" si="1"/>
        <v>0</v>
      </c>
      <c r="L48" s="8"/>
      <c r="M48" s="8"/>
    </row>
    <row r="49" spans="3:13" ht="21.75" customHeight="1" thickBot="1" x14ac:dyDescent="0.3">
      <c r="C49" s="2"/>
      <c r="D49" s="2"/>
      <c r="E49" s="5"/>
      <c r="F49" s="2"/>
      <c r="G49" s="2"/>
      <c r="H49" s="2"/>
      <c r="I49" s="2"/>
      <c r="J49" s="2" t="str">
        <f t="shared" si="0"/>
        <v/>
      </c>
      <c r="K49" s="2">
        <f t="shared" si="1"/>
        <v>0</v>
      </c>
      <c r="L49" s="8"/>
      <c r="M49" s="8"/>
    </row>
    <row r="50" spans="3:13" ht="21.75" customHeight="1" thickBot="1" x14ac:dyDescent="0.3">
      <c r="C50" s="2"/>
      <c r="D50" s="2"/>
      <c r="E50" s="5"/>
      <c r="F50" s="2"/>
      <c r="G50" s="2"/>
      <c r="H50" s="2"/>
      <c r="I50" s="2"/>
      <c r="J50" s="2" t="str">
        <f t="shared" si="0"/>
        <v/>
      </c>
      <c r="K50" s="2">
        <f t="shared" si="1"/>
        <v>0</v>
      </c>
      <c r="L50" s="8"/>
      <c r="M50" s="8"/>
    </row>
    <row r="51" spans="3:13" ht="21.75" customHeight="1" thickBot="1" x14ac:dyDescent="0.3">
      <c r="C51" s="2"/>
      <c r="D51" s="2"/>
      <c r="E51" s="5"/>
      <c r="F51" s="2"/>
      <c r="G51" s="2"/>
      <c r="H51" s="2"/>
      <c r="I51" s="2"/>
      <c r="J51" s="2" t="str">
        <f t="shared" si="0"/>
        <v/>
      </c>
      <c r="K51" s="2">
        <f t="shared" si="1"/>
        <v>0</v>
      </c>
      <c r="L51" s="8"/>
      <c r="M51" s="8"/>
    </row>
    <row r="52" spans="3:13" ht="21.75" customHeight="1" thickBot="1" x14ac:dyDescent="0.3">
      <c r="C52" s="2"/>
      <c r="D52" s="2"/>
      <c r="E52" s="5"/>
      <c r="F52" s="2"/>
      <c r="G52" s="2"/>
      <c r="H52" s="2"/>
      <c r="I52" s="2"/>
      <c r="J52" s="2" t="str">
        <f t="shared" si="0"/>
        <v/>
      </c>
      <c r="K52" s="2">
        <f t="shared" si="1"/>
        <v>0</v>
      </c>
      <c r="L52" s="8"/>
      <c r="M52" s="8"/>
    </row>
  </sheetData>
  <sheetProtection sheet="1" objects="1" scenarios="1"/>
  <protectedRanges>
    <protectedRange sqref="C1:I1048576 L1:U1048576" name="Rango1"/>
  </protectedRanges>
  <mergeCells count="7">
    <mergeCell ref="N20:O20"/>
    <mergeCell ref="N21:O21"/>
    <mergeCell ref="P9:P10"/>
    <mergeCell ref="Q9:Q10"/>
    <mergeCell ref="T5:T6"/>
    <mergeCell ref="N7:O7"/>
    <mergeCell ref="N8:O8"/>
  </mergeCells>
  <conditionalFormatting sqref="P9:P10">
    <cfRule type="expression" dxfId="1" priority="2">
      <formula>$P$10&gt;=4.5</formula>
    </cfRule>
  </conditionalFormatting>
  <conditionalFormatting sqref="Q9:Q10">
    <cfRule type="expression" dxfId="0" priority="1">
      <formula>$Q$10&gt;=4.5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"/>
  <sheetViews>
    <sheetView showGridLines="0" tabSelected="1" workbookViewId="0">
      <selection activeCell="B3" sqref="B3"/>
    </sheetView>
  </sheetViews>
  <sheetFormatPr baseColWidth="10" defaultRowHeight="15" x14ac:dyDescent="0.25"/>
  <sheetData>
    <row r="1" spans="1:4" x14ac:dyDescent="0.25">
      <c r="A1" t="str">
        <f ca="1">CONCATENATE(B1,".",C1,".",D1)</f>
        <v>19.7.2022</v>
      </c>
      <c r="B1">
        <f ca="1">DAY(TODAY())</f>
        <v>19</v>
      </c>
      <c r="C1" s="17">
        <f ca="1">MONTH(TODAY())</f>
        <v>7</v>
      </c>
      <c r="D1">
        <f ca="1">YEAR(TODAY())</f>
        <v>2022</v>
      </c>
    </row>
    <row r="2" spans="1:4" x14ac:dyDescent="0.25">
      <c r="A2" t="str">
        <f ca="1">CONCATENATE(B2,".",C2,".",D2)</f>
        <v>20.7.2022</v>
      </c>
      <c r="B2">
        <f ca="1">DAY(TODAY())+1</f>
        <v>20</v>
      </c>
      <c r="C2" s="17">
        <f ca="1">MONTH(TODAY())</f>
        <v>7</v>
      </c>
      <c r="D2">
        <f ca="1">YEAR(TODAY())</f>
        <v>2022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A38"/>
  <sheetViews>
    <sheetView showGridLines="0" showRowColHeaders="0" topLeftCell="A79" zoomScaleNormal="100" workbookViewId="0">
      <selection activeCell="T26" sqref="T26"/>
    </sheetView>
  </sheetViews>
  <sheetFormatPr baseColWidth="10" defaultRowHeight="15" x14ac:dyDescent="0.25"/>
  <sheetData>
    <row r="7" ht="14.45" customHeight="1" x14ac:dyDescent="0.25"/>
    <row r="8" ht="14.45" customHeight="1" x14ac:dyDescent="0.25"/>
    <row r="9" ht="14.45" customHeight="1" x14ac:dyDescent="0.25"/>
    <row r="10" ht="15" customHeight="1" x14ac:dyDescent="0.25"/>
    <row r="11" ht="15" customHeight="1" x14ac:dyDescent="0.25"/>
    <row r="13" ht="14.45" customHeight="1" x14ac:dyDescent="0.25"/>
    <row r="14" ht="14.45" customHeight="1" x14ac:dyDescent="0.25"/>
    <row r="15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3" ht="15" customHeight="1" x14ac:dyDescent="0.25"/>
    <row r="34" ht="15" customHeight="1" x14ac:dyDescent="0.25"/>
    <row r="35" ht="14.45" customHeight="1" x14ac:dyDescent="0.25"/>
    <row r="36" ht="14.45" customHeight="1" x14ac:dyDescent="0.25"/>
    <row r="37" ht="14.45" customHeight="1" x14ac:dyDescent="0.25"/>
    <row r="38" ht="15" customHeight="1" x14ac:dyDescent="0.25"/>
  </sheetData>
  <sheetProtection algorithmName="SHA-512" hashValue="vv1lTPixTwkaZuLmpVb1mXdFuA2y5NOQBqO9Lp2E41RxCL42Ag8aHvAYXPseNS1adq7PI08De4knGeL45jhzEg==" saltValue="pqllKa3X6y3ocL6Grz5Mn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E8F9E0-5C3C-4905-B299-8603ED8489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Cerveceros</vt:lpstr>
      <vt:lpstr>BaseCerv</vt:lpstr>
      <vt:lpstr>CIERRE TECNICO</vt:lpstr>
      <vt:lpstr>Fechas</vt:lpstr>
      <vt:lpstr>Instrucciones de uso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Andres Arrieta Rodriguez</dc:creator>
  <cp:lastModifiedBy>Zamir Alejandro Pineda Gallego</cp:lastModifiedBy>
  <dcterms:created xsi:type="dcterms:W3CDTF">2022-05-26T08:21:13Z</dcterms:created>
  <dcterms:modified xsi:type="dcterms:W3CDTF">2022-07-19T13:24:21Z</dcterms:modified>
</cp:coreProperties>
</file>